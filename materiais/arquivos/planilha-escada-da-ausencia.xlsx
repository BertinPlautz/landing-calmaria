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Registro" sheetId="2" state="visible" r:id="rId4"/>
    <sheet name="Progresso" sheetId="3" state="visible" r:id="rId5"/>
    <sheet name="Camada 1" sheetId="4" state="visible" r:id="rId6"/>
    <sheet name="Degrau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<sst xmlns="http://schemas.openxmlformats.org/spreadsheetml/2006/main" count="128" uniqueCount="102">
  <si>
    <t xml:space="preserve">Escada da Ausência</t>
  </si>
  <si>
    <t xml:space="preserve">Planilha do guia Volto Já · Método Saída Invisível · Simbas Pet</t>
  </si>
  <si>
    <t xml:space="preserve">1. Teste da Chave</t>
  </si>
  <si>
    <t xml:space="preserve">Na aba Camada 1, anote as 5 tentativas do Teste da Chave. A planilha diz por onde começar.</t>
  </si>
  <si>
    <t xml:space="preserve">2. Treino dos sinais</t>
  </si>
  <si>
    <t xml:space="preserve">Ainda na aba Camada 1, registre um dia por linha: o exercício, as repetições e a nota média do dia.</t>
  </si>
  <si>
    <t xml:space="preserve">3. Sessões da Escada</t>
  </si>
  <si>
    <t xml:space="preserve">Na aba Registro, uma linha por sessão: data, degrau, nota e uma observação se quiser.</t>
  </si>
  <si>
    <t xml:space="preserve">4. Siga a sugestão</t>
  </si>
  <si>
    <t xml:space="preserve">A coluna "O que fazer na próxima sessão" aplica as regras do guia: 3 sessões calmas para subir, nota 2 desce um degrau, nota 3 desce dois.</t>
  </si>
  <si>
    <t xml:space="preserve">5. Olhe o progresso</t>
  </si>
  <si>
    <t xml:space="preserve">Uma vez por semana, abra a aba Progresso. O degrau médio subindo é o sinal de que está funcionando.</t>
  </si>
  <si>
    <t xml:space="preserve">Legenda</t>
  </si>
  <si>
    <t xml:space="preserve">Célula creme</t>
  </si>
  <si>
    <t xml:space="preserve">Você preenche.</t>
  </si>
  <si>
    <t xml:space="preserve">Célula branca</t>
  </si>
  <si>
    <t xml:space="preserve">Calculada automaticamente. Não precisa mexer.</t>
  </si>
  <si>
    <t xml:space="preserve">Escala de Reação</t>
  </si>
  <si>
    <t xml:space="preserve">0 · Tranquilo</t>
  </si>
  <si>
    <t xml:space="preserve">Continua deitado, ou olha e volta a descansar</t>
  </si>
  <si>
    <t xml:space="preserve">1 · Atento</t>
  </si>
  <si>
    <t xml:space="preserve">Levanta, olha a porta, mas se acalma sozinho</t>
  </si>
  <si>
    <t xml:space="preserve">2 · Preocupado</t>
  </si>
  <si>
    <t xml:space="preserve">Anda, lambe os lábios, boceja, choraminga baixo</t>
  </si>
  <si>
    <t xml:space="preserve">3 · Pânico</t>
  </si>
  <si>
    <t xml:space="preserve">Late, uiva, arranha a porta, baba, tenta sair</t>
  </si>
  <si>
    <t xml:space="preserve">Exemplo de sessão preenchida</t>
  </si>
  <si>
    <t xml:space="preserve">Data</t>
  </si>
  <si>
    <t xml:space="preserve">05/10/2026</t>
  </si>
  <si>
    <t xml:space="preserve">Degrau</t>
  </si>
  <si>
    <t xml:space="preserve">4</t>
  </si>
  <si>
    <t xml:space="preserve">Nota</t>
  </si>
  <si>
    <t xml:space="preserve">0</t>
  </si>
  <si>
    <t xml:space="preserve">Observação</t>
  </si>
  <si>
    <t xml:space="preserve">Ficou deitado o tempo todo</t>
  </si>
  <si>
    <t xml:space="preserve">Tempo fora (automático)</t>
  </si>
  <si>
    <t xml:space="preserve">30 segundos</t>
  </si>
  <si>
    <t xml:space="preserve">O que fazer (automático)</t>
  </si>
  <si>
    <t xml:space="preserve">Repita o degrau 4 até 3 sessões calmas seguidas</t>
  </si>
  <si>
    <t xml:space="preserve">Sinais de alerta</t>
  </si>
  <si>
    <t xml:space="preserve">Se o cão se machucar, não comer nada sozinho ou o problema tiver começado de repente, procure um veterinário antes de continuar o treino.</t>
  </si>
  <si>
    <t xml:space="preserve">Registro das sessões da Escada</t>
  </si>
  <si>
    <t xml:space="preserve">Preencha só as colunas em creme: Data, Degrau, Nota e Observação. O resto é automático.</t>
  </si>
  <si>
    <t xml:space="preserve">Nº</t>
  </si>
  <si>
    <t xml:space="preserve">Degrau
(1 a 20)</t>
  </si>
  <si>
    <t xml:space="preserve">Tempo fora</t>
  </si>
  <si>
    <t xml:space="preserve">Nota
(0 a 3)</t>
  </si>
  <si>
    <t xml:space="preserve">Semana</t>
  </si>
  <si>
    <t xml:space="preserve">Próximo
degrau</t>
  </si>
  <si>
    <t xml:space="preserve">O que fazer na próxima sessão</t>
  </si>
  <si>
    <t xml:space="preserve">Seu progresso</t>
  </si>
  <si>
    <t xml:space="preserve">Tudo aqui é automático. Olhe esta aba uma vez por semana, não a cada sessão.</t>
  </si>
  <si>
    <t xml:space="preserve">Sessões registradas</t>
  </si>
  <si>
    <t xml:space="preserve">Degrau atual</t>
  </si>
  <si>
    <t xml:space="preserve">Próximo degrau sugerido</t>
  </si>
  <si>
    <t xml:space="preserve">Maior degrau com nota 0</t>
  </si>
  <si>
    <t xml:space="preserve">Maior ausência calma</t>
  </si>
  <si>
    <t xml:space="preserve">Sessões</t>
  </si>
  <si>
    <t xml:space="preserve">Degrau médio</t>
  </si>
  <si>
    <t xml:space="preserve">Maior degrau
com nota 0 ou 1</t>
  </si>
  <si>
    <t xml:space="preserve">% de sessões
calmas (0 ou 1)</t>
  </si>
  <si>
    <t xml:space="preserve">Nota média</t>
  </si>
  <si>
    <t xml:space="preserve">A escada está funcionando quando o degrau médio da semana sobe, mesmo com recuos no meio.</t>
  </si>
  <si>
    <t xml:space="preserve">Camada 1: os sinais de saída</t>
  </si>
  <si>
    <t xml:space="preserve">Primeiro o Teste da Chave. Depois, uma linha por dia de treino dos sinais.</t>
  </si>
  <si>
    <t xml:space="preserve">Teste da Chave</t>
  </si>
  <si>
    <t xml:space="preserve">Horário</t>
  </si>
  <si>
    <t xml:space="preserve">Nota (0 a 3)</t>
  </si>
  <si>
    <t xml:space="preserve">Tentativa 1</t>
  </si>
  <si>
    <t xml:space="preserve">Tentativa 2</t>
  </si>
  <si>
    <t xml:space="preserve">Tentativa 3</t>
  </si>
  <si>
    <t xml:space="preserve">Tentativa 4</t>
  </si>
  <si>
    <t xml:space="preserve">Tentativa 5</t>
  </si>
  <si>
    <t xml:space="preserve">Exercício</t>
  </si>
  <si>
    <t xml:space="preserve">Repetições</t>
  </si>
  <si>
    <t xml:space="preserve">Nota média do dia (0 a 3)</t>
  </si>
  <si>
    <t xml:space="preserve">Pode avançar?</t>
  </si>
  <si>
    <t xml:space="preserve">Os 20 degraus</t>
  </si>
  <si>
    <t xml:space="preserve">Referência do guia Volto Já, capítulo 6. Não precisa editar.</t>
  </si>
  <si>
    <t xml:space="preserve">Segundos</t>
  </si>
  <si>
    <t xml:space="preserve">Fase</t>
  </si>
  <si>
    <t xml:space="preserve">5 segundos</t>
  </si>
  <si>
    <t xml:space="preserve">10 segundos</t>
  </si>
  <si>
    <t xml:space="preserve">20 segundos</t>
  </si>
  <si>
    <t xml:space="preserve">45 segundos</t>
  </si>
  <si>
    <t xml:space="preserve">1 minuto</t>
  </si>
  <si>
    <t xml:space="preserve">1 minuto e meio</t>
  </si>
  <si>
    <t xml:space="preserve">Minutos</t>
  </si>
  <si>
    <t xml:space="preserve">2 minutos</t>
  </si>
  <si>
    <t xml:space="preserve">3 minutos</t>
  </si>
  <si>
    <t xml:space="preserve">4 minutos</t>
  </si>
  <si>
    <t xml:space="preserve">5 minutos</t>
  </si>
  <si>
    <t xml:space="preserve">7 minutos</t>
  </si>
  <si>
    <t xml:space="preserve">10 minutos</t>
  </si>
  <si>
    <t xml:space="preserve">15 minutos</t>
  </si>
  <si>
    <t xml:space="preserve">Horas</t>
  </si>
  <si>
    <t xml:space="preserve">20 minutos</t>
  </si>
  <si>
    <t xml:space="preserve">30 minutos</t>
  </si>
  <si>
    <t xml:space="preserve">45 minutos</t>
  </si>
  <si>
    <t xml:space="preserve">1 hora</t>
  </si>
  <si>
    <t xml:space="preserve">1 hora e meia</t>
  </si>
  <si>
    <t xml:space="preserve">2 horas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</si>
</sst>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@"/>
    <numFmt numFmtId="168" formatCode="0.0"/>
    <numFmt numFmtId="169" formatCode="0%"/>
    <numFmt numFmtId="170" formatCode="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9772E"/>
      <name val="Arial"/>
      <family val="0"/>
      <charset val="1"/>
    </font>
    <font>
      <i val="true"/>
      <sz val="10"/>
      <color rgb="FF6B635B"/>
      <name val="Arial"/>
      <family val="0"/>
      <charset val="1"/>
    </font>
    <font>
      <b val="true"/>
      <sz val="11"/>
      <color rgb="FF2E2A26"/>
      <name val="Arial"/>
      <family val="0"/>
      <charset val="1"/>
    </font>
    <font>
      <sz val="10"/>
      <color rgb="FF2E2A26"/>
      <name val="Arial"/>
      <family val="0"/>
      <charset val="1"/>
    </font>
    <font>
      <b val="true"/>
      <sz val="11"/>
      <color rgb="FFC9772E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b val="true"/>
      <sz val="11"/>
      <color rgb="FFB5452B"/>
      <name val="Arial"/>
      <family val="0"/>
      <charset val="1"/>
    </font>
    <font>
      <b val="true"/>
      <sz val="18"/>
      <color rgb="FF2E2A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C977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6E9B7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4DE"/>
        <bgColor rgb="FFFBF7F1"/>
      </patternFill>
    </fill>
    <fill>
      <patternFill patternType="solid">
        <fgColor rgb="FFDCE8DD"/>
        <bgColor rgb="FFE8F0D6"/>
      </patternFill>
    </fill>
    <fill>
      <patternFill patternType="solid">
        <fgColor rgb="FFE8F0D6"/>
        <bgColor rgb="FFF3ECE2"/>
      </patternFill>
    </fill>
    <fill>
      <patternFill patternType="solid">
        <fgColor rgb="FFF6DDB0"/>
        <bgColor rgb="FFF2CFC5"/>
      </patternFill>
    </fill>
    <fill>
      <patternFill patternType="solid">
        <fgColor rgb="FFF2CFC5"/>
        <bgColor rgb="FFE3D9CC"/>
      </patternFill>
    </fill>
    <fill>
      <patternFill patternType="solid">
        <fgColor rgb="FFC9772E"/>
        <bgColor rgb="FFE3A33B"/>
      </patternFill>
    </fill>
    <fill>
      <patternFill patternType="solid">
        <fgColor rgb="FFF3ECE2"/>
        <bgColor rgb="FFE8F0D6"/>
      </patternFill>
    </fill>
    <fill>
      <patternFill patternType="solid">
        <fgColor rgb="FFFBF7F1"/>
        <bgColor rgb="FFFFF4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D9CC"/>
      </left>
      <right style="thin">
        <color rgb="FFE3D9CC"/>
      </right>
      <top style="thin">
        <color rgb="FFE3D9CC"/>
      </top>
      <bottom style="thin">
        <color rgb="FFE3D9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CE8DD"/>
        </patternFill>
      </fill>
    </dxf>
    <dxf>
      <fill>
        <patternFill>
          <bgColor rgb="FFE8F0D6"/>
        </patternFill>
      </fill>
    </dxf>
    <dxf>
      <fill>
        <patternFill>
          <bgColor rgb="FFF6DDB0"/>
        </patternFill>
      </fill>
    </dxf>
    <dxf>
      <fill>
        <patternFill>
          <bgColor rgb="FFF2CFC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3D9CC"/>
      <rgbColor rgb="FF878787"/>
      <rgbColor rgb="FF9999FF"/>
      <rgbColor rgb="FF993366"/>
      <rgbColor rgb="FFFFF4DE"/>
      <rgbColor rgb="FFDCE8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7F1"/>
      <rgbColor rgb="FFE8F0D6"/>
      <rgbColor rgb="FFF3ECE2"/>
      <rgbColor rgb="FF99CCFF"/>
      <rgbColor rgb="FFF2CFC5"/>
      <rgbColor rgb="FFCC99FF"/>
      <rgbColor rgb="FFF6DDB0"/>
      <rgbColor rgb="FF3366FF"/>
      <rgbColor rgb="FF33CCCC"/>
      <rgbColor rgb="FF99CC00"/>
      <rgbColor rgb="FFFFCC00"/>
      <rgbColor rgb="FFE3A33B"/>
      <rgbColor rgb="FFC9772E"/>
      <rgbColor rgb="FF6B635B"/>
      <rgbColor rgb="FF6E9B73"/>
      <rgbColor rgb="FF003366"/>
      <rgbColor rgb="FF339966"/>
      <rgbColor rgb="FF003300"/>
      <rgbColor rgb="FF333300"/>
      <rgbColor rgb="FFB5452B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Degrau de cada sessão (primeiras 60 sessões)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Registro!C4</c:f>
              <c:strCache>
                <c:ptCount val="1"/>
                <c:pt idx="0">
                  <c:v>Degrau
(1 a 20)</c:v>
                </c:pt>
              </c:strCache>
            </c:strRef>
          </c:tx>
          <c:spPr>
            <a:solidFill>
              <a:srgbClr val="c9772e"/>
            </a:solidFill>
            <a:ln w="28080">
              <a:solidFill>
                <a:srgbClr val="c97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Registro!$C$5:$C$64</c:f>
              <c:numCache>
                <c:formatCode>General</c:formatCode>
                <c:ptCount val="6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282619"/>
        <c:axId val="51676998"/>
      </c:lineChart>
      <c:catAx>
        <c:axId val="61282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76998"/>
        <c:crosses val="autoZero"/>
        <c:auto val="1"/>
        <c:lblAlgn val="ctr"/>
        <c:lblOffset val="100"/>
        <c:noMultiLvlLbl val="0"/>
      </c:catAx>
      <c:valAx>
        <c:axId val="51676998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Degrau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82619"/>
        <c:crosses val="autoZero"/>
        <c:crossBetween val="between"/>
        <c:majorUnit val="2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6</xdr:col>
      <xdr:colOff>25200</xdr:colOff>
      <xdr:row>46</xdr:row>
      <xdr:rowOff>1440</xdr:rowOff>
    </xdr:to>
    <xdr:graphicFrame>
      <xdr:nvGraphicFramePr>
        <xdr:cNvPr id="0" name="Chart 1"/>
        <xdr:cNvGraphicFramePr/>
      </xdr:nvGraphicFramePr>
      <xdr:xfrm>
        <a:off x="0" y="6496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772E"/>
    <pageSetUpPr fitToPage="tru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31.5" hidden="false" customHeight="true" outlineLevel="0" collapsed="false">
      <c r="B6" s="3" t="s">
        <v>4</v>
      </c>
      <c r="C6" s="4" t="s">
        <v>5</v>
      </c>
    </row>
    <row r="7" customFormat="false" ht="31.5" hidden="false" customHeight="true" outlineLevel="0" collapsed="false">
      <c r="B7" s="3" t="s">
        <v>6</v>
      </c>
      <c r="C7" s="4" t="s">
        <v>7</v>
      </c>
    </row>
    <row r="8" customFormat="false" ht="31.5" hidden="false" customHeight="true" outlineLevel="0" collapsed="false">
      <c r="B8" s="3" t="s">
        <v>8</v>
      </c>
      <c r="C8" s="4" t="s">
        <v>9</v>
      </c>
    </row>
    <row r="9" customFormat="false" ht="31.5" hidden="false" customHeight="true" outlineLevel="0" collapsed="false">
      <c r="B9" s="3" t="s">
        <v>10</v>
      </c>
      <c r="C9" s="4" t="s">
        <v>11</v>
      </c>
    </row>
    <row r="11" customFormat="false" ht="15" hidden="false" customHeight="false" outlineLevel="0" collapsed="false">
      <c r="B11" s="5" t="s">
        <v>12</v>
      </c>
    </row>
    <row r="12" customFormat="false" ht="15" hidden="false" customHeight="false" outlineLevel="0" collapsed="false">
      <c r="B12" s="6" t="s">
        <v>13</v>
      </c>
      <c r="C12" s="7" t="s">
        <v>14</v>
      </c>
    </row>
    <row r="13" customFormat="false" ht="15" hidden="false" customHeight="false" outlineLevel="0" collapsed="false">
      <c r="B13" s="8" t="s">
        <v>15</v>
      </c>
      <c r="C13" s="7" t="s">
        <v>16</v>
      </c>
    </row>
    <row r="15" customFormat="false" ht="15" hidden="false" customHeight="false" outlineLevel="0" collapsed="false">
      <c r="B15" s="5" t="s">
        <v>17</v>
      </c>
    </row>
    <row r="16" customFormat="false" ht="15" hidden="false" customHeight="false" outlineLevel="0" collapsed="false">
      <c r="B16" s="9" t="s">
        <v>18</v>
      </c>
      <c r="C16" s="8" t="s">
        <v>19</v>
      </c>
    </row>
    <row r="17" customFormat="false" ht="15" hidden="false" customHeight="false" outlineLevel="0" collapsed="false">
      <c r="B17" s="10" t="s">
        <v>20</v>
      </c>
      <c r="C17" s="8" t="s">
        <v>21</v>
      </c>
    </row>
    <row r="18" customFormat="false" ht="15" hidden="false" customHeight="false" outlineLevel="0" collapsed="false">
      <c r="B18" s="11" t="s">
        <v>22</v>
      </c>
      <c r="C18" s="8" t="s">
        <v>23</v>
      </c>
    </row>
    <row r="19" customFormat="false" ht="15" hidden="false" customHeight="false" outlineLevel="0" collapsed="false">
      <c r="B19" s="12" t="s">
        <v>24</v>
      </c>
      <c r="C19" s="8" t="s">
        <v>25</v>
      </c>
    </row>
    <row r="21" customFormat="false" ht="15" hidden="false" customHeight="false" outlineLevel="0" collapsed="false">
      <c r="B21" s="5" t="s">
        <v>26</v>
      </c>
    </row>
    <row r="22" customFormat="false" ht="15" hidden="false" customHeight="false" outlineLevel="0" collapsed="false">
      <c r="B22" s="8" t="s">
        <v>27</v>
      </c>
      <c r="C22" s="13" t="s">
        <v>28</v>
      </c>
    </row>
    <row r="23" customFormat="false" ht="15" hidden="false" customHeight="false" outlineLevel="0" collapsed="false">
      <c r="B23" s="8" t="s">
        <v>29</v>
      </c>
      <c r="C23" s="13" t="s">
        <v>30</v>
      </c>
    </row>
    <row r="24" customFormat="false" ht="15" hidden="false" customHeight="false" outlineLevel="0" collapsed="false">
      <c r="B24" s="8" t="s">
        <v>31</v>
      </c>
      <c r="C24" s="13" t="s">
        <v>32</v>
      </c>
    </row>
    <row r="25" customFormat="false" ht="15" hidden="false" customHeight="false" outlineLevel="0" collapsed="false">
      <c r="B25" s="8" t="s">
        <v>33</v>
      </c>
      <c r="C25" s="13" t="s">
        <v>34</v>
      </c>
    </row>
    <row r="26" customFormat="false" ht="15" hidden="false" customHeight="false" outlineLevel="0" collapsed="false">
      <c r="B26" s="8" t="s">
        <v>35</v>
      </c>
      <c r="C26" s="13" t="s">
        <v>36</v>
      </c>
    </row>
    <row r="27" customFormat="false" ht="15" hidden="false" customHeight="false" outlineLevel="0" collapsed="false">
      <c r="B27" s="8" t="s">
        <v>37</v>
      </c>
      <c r="C27" s="13" t="s">
        <v>38</v>
      </c>
    </row>
    <row r="29" customFormat="false" ht="15" hidden="false" customHeight="false" outlineLevel="0" collapsed="false">
      <c r="B29" s="14" t="s">
        <v>39</v>
      </c>
    </row>
    <row r="30" customFormat="false" ht="30" hidden="false" customHeight="true" outlineLevel="0" collapsed="false">
      <c r="B30" s="15" t="s">
        <v>40</v>
      </c>
      <c r="C30" s="15"/>
    </row>
  </sheetData>
  <mergeCells count="1"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772E"/>
    <pageSetUpPr fitToPage="true"/>
  </sheetPr>
  <dimension ref="A1:I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36"/>
  </cols>
  <sheetData>
    <row r="1" customFormat="false" ht="30" hidden="false" customHeight="true" outlineLevel="0" collapsed="false">
      <c r="A1" s="16" t="s">
        <v>41</v>
      </c>
    </row>
    <row r="2" customFormat="false" ht="15" hidden="false" customHeight="false" outlineLevel="0" collapsed="false">
      <c r="A2" s="2" t="s">
        <v>42</v>
      </c>
    </row>
    <row r="4" customFormat="false" ht="31.5" hidden="false" customHeight="true" outlineLevel="0" collapsed="false">
      <c r="A4" s="17" t="s">
        <v>43</v>
      </c>
      <c r="B4" s="17" t="s">
        <v>27</v>
      </c>
      <c r="C4" s="17" t="s">
        <v>44</v>
      </c>
      <c r="D4" s="17" t="s">
        <v>45</v>
      </c>
      <c r="E4" s="17" t="s">
        <v>46</v>
      </c>
      <c r="F4" s="17" t="s">
        <v>33</v>
      </c>
      <c r="G4" s="17" t="s">
        <v>47</v>
      </c>
      <c r="H4" s="17" t="s">
        <v>48</v>
      </c>
      <c r="I4" s="17" t="s">
        <v>49</v>
      </c>
    </row>
    <row r="5" customFormat="false" ht="15" hidden="false" customHeight="false" outlineLevel="0" collapsed="false">
      <c r="A5" s="18" t="str">
        <f aca="false">IF(B5="","",ROW()-4)</f>
        <v/>
      </c>
      <c r="B5" s="19"/>
      <c r="C5" s="20"/>
      <c r="D5" s="18" t="str">
        <f aca="false">IF(C5="","",INDEX(Degraus!$B$5:$B$24,C5))</f>
        <v/>
      </c>
      <c r="E5" s="20"/>
      <c r="F5" s="21"/>
      <c r="G5" s="18" t="str">
        <f aca="false">IF(B5="","",INT((B5-MIN($B$5:$B$304))/7)+1)</f>
        <v/>
      </c>
      <c r="H5" s="18" t="str">
        <f aca="false">IF(OR(C5="",E5=""),"",IF(E5=3,MAX(1,C5-2),IF(E5=2,MAX(1,C5-1),IF(FALSE(),MIN(20,C5+1),C5))))</f>
        <v/>
      </c>
      <c r="I5" s="22" t="str">
        <f aca="false">IF(H5="","",IF(H5&gt;C5,"Suba para o degrau "&amp;H5&amp;" ("&amp;INDEX(Degraus!$B$5:$B$24,H5)&amp;")",IF(H5&lt;C5,"Desça para o degrau "&amp;H5&amp;" ("&amp;INDEX(Degraus!$B$5:$B$24,H5)&amp;")","Repita o degrau "&amp;C5&amp;" até 3 sessões calmas seguidas")))</f>
        <v/>
      </c>
    </row>
    <row r="6" customFormat="false" ht="15" hidden="false" customHeight="false" outlineLevel="0" collapsed="false">
      <c r="A6" s="18" t="str">
        <f aca="false">IF(B6="","",ROW()-4)</f>
        <v/>
      </c>
      <c r="B6" s="19"/>
      <c r="C6" s="20"/>
      <c r="D6" s="18" t="str">
        <f aca="false">IF(C6="","",INDEX(Degraus!$B$5:$B$24,C6))</f>
        <v/>
      </c>
      <c r="E6" s="20"/>
      <c r="F6" s="21"/>
      <c r="G6" s="18" t="str">
        <f aca="false">IF(B6="","",INT((B6-MIN($B$5:$B$304))/7)+1)</f>
        <v/>
      </c>
      <c r="H6" s="18" t="str">
        <f aca="false">IF(OR(C6="",E6=""),"",IF(E6=3,MAX(1,C6-2),IF(E6=2,MAX(1,C6-1),IF(FALSE(),MIN(20,C6+1),C6))))</f>
        <v/>
      </c>
      <c r="I6" s="22" t="str">
        <f aca="false">IF(H6="","",IF(H6&gt;C6,"Suba para o degrau "&amp;H6&amp;" ("&amp;INDEX(Degraus!$B$5:$B$24,H6)&amp;")",IF(H6&lt;C6,"Desça para o degrau "&amp;H6&amp;" ("&amp;INDEX(Degraus!$B$5:$B$24,H6)&amp;")","Repita o degrau "&amp;C6&amp;" até 3 sessões calmas seguidas")))</f>
        <v/>
      </c>
    </row>
    <row r="7" customFormat="false" ht="15" hidden="false" customHeight="false" outlineLevel="0" collapsed="false">
      <c r="A7" s="18" t="str">
        <f aca="false">IF(B7="","",ROW()-4)</f>
        <v/>
      </c>
      <c r="B7" s="19"/>
      <c r="C7" s="20"/>
      <c r="D7" s="18" t="str">
        <f aca="false">IF(C7="","",INDEX(Degraus!$B$5:$B$24,C7))</f>
        <v/>
      </c>
      <c r="E7" s="20"/>
      <c r="F7" s="21"/>
      <c r="G7" s="18" t="str">
        <f aca="false">IF(B7="","",INT((B7-MIN($B$5:$B$304))/7)+1)</f>
        <v/>
      </c>
      <c r="H7" s="18" t="str">
        <f aca="false">IF(OR(C7="",E7=""),"",IF(E7=3,MAX(1,C7-2),IF(E7=2,MAX(1,C7-1),IF(AND(C6=C7,C5=C7,E6&lt;&gt;"",E5&lt;&gt;"",E6&lt;=1,E5&lt;=1),MIN(20,C7+1),C7))))</f>
        <v/>
      </c>
      <c r="I7" s="22" t="str">
        <f aca="false">IF(H7="","",IF(H7&gt;C7,"Suba para o degrau "&amp;H7&amp;" ("&amp;INDEX(Degraus!$B$5:$B$24,H7)&amp;")",IF(H7&lt;C7,"Desça para o degrau "&amp;H7&amp;" ("&amp;INDEX(Degraus!$B$5:$B$24,H7)&amp;")","Repita o degrau "&amp;C7&amp;" até 3 sessões calmas seguidas")))</f>
        <v/>
      </c>
    </row>
    <row r="8" customFormat="false" ht="15" hidden="false" customHeight="false" outlineLevel="0" collapsed="false">
      <c r="A8" s="18" t="str">
        <f aca="false">IF(B8="","",ROW()-4)</f>
        <v/>
      </c>
      <c r="B8" s="19"/>
      <c r="C8" s="20"/>
      <c r="D8" s="18" t="str">
        <f aca="false">IF(C8="","",INDEX(Degraus!$B$5:$B$24,C8))</f>
        <v/>
      </c>
      <c r="E8" s="20"/>
      <c r="F8" s="21"/>
      <c r="G8" s="18" t="str">
        <f aca="false">IF(B8="","",INT((B8-MIN($B$5:$B$304))/7)+1)</f>
        <v/>
      </c>
      <c r="H8" s="18" t="str">
        <f aca="false">IF(OR(C8="",E8=""),"",IF(E8=3,MAX(1,C8-2),IF(E8=2,MAX(1,C8-1),IF(AND(C7=C8,C6=C8,E7&lt;&gt;"",E6&lt;&gt;"",E7&lt;=1,E6&lt;=1),MIN(20,C8+1),C8))))</f>
        <v/>
      </c>
      <c r="I8" s="22" t="str">
        <f aca="false">IF(H8="","",IF(H8&gt;C8,"Suba para o degrau "&amp;H8&amp;" ("&amp;INDEX(Degraus!$B$5:$B$24,H8)&amp;")",IF(H8&lt;C8,"Desça para o degrau "&amp;H8&amp;" ("&amp;INDEX(Degraus!$B$5:$B$24,H8)&amp;")","Repita o degrau "&amp;C8&amp;" até 3 sessões calmas seguidas")))</f>
        <v/>
      </c>
    </row>
    <row r="9" customFormat="false" ht="15" hidden="false" customHeight="false" outlineLevel="0" collapsed="false">
      <c r="A9" s="18" t="str">
        <f aca="false">IF(B9="","",ROW()-4)</f>
        <v/>
      </c>
      <c r="B9" s="19"/>
      <c r="C9" s="20"/>
      <c r="D9" s="18" t="str">
        <f aca="false">IF(C9="","",INDEX(Degraus!$B$5:$B$24,C9))</f>
        <v/>
      </c>
      <c r="E9" s="20"/>
      <c r="F9" s="21"/>
      <c r="G9" s="18" t="str">
        <f aca="false">IF(B9="","",INT((B9-MIN($B$5:$B$304))/7)+1)</f>
        <v/>
      </c>
      <c r="H9" s="18" t="str">
        <f aca="false">IF(OR(C9="",E9=""),"",IF(E9=3,MAX(1,C9-2),IF(E9=2,MAX(1,C9-1),IF(AND(C8=C9,C7=C9,E8&lt;&gt;"",E7&lt;&gt;"",E8&lt;=1,E7&lt;=1),MIN(20,C9+1),C9))))</f>
        <v/>
      </c>
      <c r="I9" s="22" t="str">
        <f aca="false">IF(H9="","",IF(H9&gt;C9,"Suba para o degrau "&amp;H9&amp;" ("&amp;INDEX(Degraus!$B$5:$B$24,H9)&amp;")",IF(H9&lt;C9,"Desça para o degrau "&amp;H9&amp;" ("&amp;INDEX(Degraus!$B$5:$B$24,H9)&amp;")","Repita o degrau "&amp;C9&amp;" até 3 sessões calmas seguidas")))</f>
        <v/>
      </c>
    </row>
    <row r="10" customFormat="false" ht="15" hidden="false" customHeight="false" outlineLevel="0" collapsed="false">
      <c r="A10" s="18" t="str">
        <f aca="false">IF(B10="","",ROW()-4)</f>
        <v/>
      </c>
      <c r="B10" s="19"/>
      <c r="C10" s="20"/>
      <c r="D10" s="18" t="str">
        <f aca="false">IF(C10="","",INDEX(Degraus!$B$5:$B$24,C10))</f>
        <v/>
      </c>
      <c r="E10" s="20"/>
      <c r="F10" s="21"/>
      <c r="G10" s="18" t="str">
        <f aca="false">IF(B10="","",INT((B10-MIN($B$5:$B$304))/7)+1)</f>
        <v/>
      </c>
      <c r="H10" s="18" t="str">
        <f aca="false">IF(OR(C10="",E10=""),"",IF(E10=3,MAX(1,C10-2),IF(E10=2,MAX(1,C10-1),IF(AND(C9=C10,C8=C10,E9&lt;&gt;"",E8&lt;&gt;"",E9&lt;=1,E8&lt;=1),MIN(20,C10+1),C10))))</f>
        <v/>
      </c>
      <c r="I10" s="22" t="str">
        <f aca="false">IF(H10="","",IF(H10&gt;C10,"Suba para o degrau "&amp;H10&amp;" ("&amp;INDEX(Degraus!$B$5:$B$24,H10)&amp;")",IF(H10&lt;C10,"Desça para o degrau "&amp;H10&amp;" ("&amp;INDEX(Degraus!$B$5:$B$24,H10)&amp;")","Repita o degrau "&amp;C10&amp;" até 3 sessões calmas seguidas")))</f>
        <v/>
      </c>
    </row>
    <row r="11" customFormat="false" ht="15" hidden="false" customHeight="false" outlineLevel="0" collapsed="false">
      <c r="A11" s="18" t="str">
        <f aca="false">IF(B11="","",ROW()-4)</f>
        <v/>
      </c>
      <c r="B11" s="19"/>
      <c r="C11" s="20"/>
      <c r="D11" s="18" t="str">
        <f aca="false">IF(C11="","",INDEX(Degraus!$B$5:$B$24,C11))</f>
        <v/>
      </c>
      <c r="E11" s="20"/>
      <c r="F11" s="21"/>
      <c r="G11" s="18" t="str">
        <f aca="false">IF(B11="","",INT((B11-MIN($B$5:$B$304))/7)+1)</f>
        <v/>
      </c>
      <c r="H11" s="18" t="str">
        <f aca="false">IF(OR(C11="",E11=""),"",IF(E11=3,MAX(1,C11-2),IF(E11=2,MAX(1,C11-1),IF(AND(C10=C11,C9=C11,E10&lt;&gt;"",E9&lt;&gt;"",E10&lt;=1,E9&lt;=1),MIN(20,C11+1),C11))))</f>
        <v/>
      </c>
      <c r="I11" s="22" t="str">
        <f aca="false">IF(H11="","",IF(H11&gt;C11,"Suba para o degrau "&amp;H11&amp;" ("&amp;INDEX(Degraus!$B$5:$B$24,H11)&amp;")",IF(H11&lt;C11,"Desça para o degrau "&amp;H11&amp;" ("&amp;INDEX(Degraus!$B$5:$B$24,H11)&amp;")","Repita o degrau "&amp;C11&amp;" até 3 sessões calmas seguidas")))</f>
        <v/>
      </c>
    </row>
    <row r="12" customFormat="false" ht="15" hidden="false" customHeight="false" outlineLevel="0" collapsed="false">
      <c r="A12" s="18" t="str">
        <f aca="false">IF(B12="","",ROW()-4)</f>
        <v/>
      </c>
      <c r="B12" s="19"/>
      <c r="C12" s="20"/>
      <c r="D12" s="18" t="str">
        <f aca="false">IF(C12="","",INDEX(Degraus!$B$5:$B$24,C12))</f>
        <v/>
      </c>
      <c r="E12" s="20"/>
      <c r="F12" s="21"/>
      <c r="G12" s="18" t="str">
        <f aca="false">IF(B12="","",INT((B12-MIN($B$5:$B$304))/7)+1)</f>
        <v/>
      </c>
      <c r="H12" s="18" t="str">
        <f aca="false">IF(OR(C12="",E12=""),"",IF(E12=3,MAX(1,C12-2),IF(E12=2,MAX(1,C12-1),IF(AND(C11=C12,C10=C12,E11&lt;&gt;"",E10&lt;&gt;"",E11&lt;=1,E10&lt;=1),MIN(20,C12+1),C12))))</f>
        <v/>
      </c>
      <c r="I12" s="22" t="str">
        <f aca="false">IF(H12="","",IF(H12&gt;C12,"Suba para o degrau "&amp;H12&amp;" ("&amp;INDEX(Degraus!$B$5:$B$24,H12)&amp;")",IF(H12&lt;C12,"Desça para o degrau "&amp;H12&amp;" ("&amp;INDEX(Degraus!$B$5:$B$24,H12)&amp;")","Repita o degrau "&amp;C12&amp;" até 3 sessões calmas seguidas")))</f>
        <v/>
      </c>
    </row>
    <row r="13" customFormat="false" ht="15" hidden="false" customHeight="false" outlineLevel="0" collapsed="false">
      <c r="A13" s="18" t="str">
        <f aca="false">IF(B13="","",ROW()-4)</f>
        <v/>
      </c>
      <c r="B13" s="19"/>
      <c r="C13" s="20"/>
      <c r="D13" s="18" t="str">
        <f aca="false">IF(C13="","",INDEX(Degraus!$B$5:$B$24,C13))</f>
        <v/>
      </c>
      <c r="E13" s="20"/>
      <c r="F13" s="21"/>
      <c r="G13" s="18" t="str">
        <f aca="false">IF(B13="","",INT((B13-MIN($B$5:$B$304))/7)+1)</f>
        <v/>
      </c>
      <c r="H13" s="18" t="str">
        <f aca="false">IF(OR(C13="",E13=""),"",IF(E13=3,MAX(1,C13-2),IF(E13=2,MAX(1,C13-1),IF(AND(C12=C13,C11=C13,E12&lt;&gt;"",E11&lt;&gt;"",E12&lt;=1,E11&lt;=1),MIN(20,C13+1),C13))))</f>
        <v/>
      </c>
      <c r="I13" s="22" t="str">
        <f aca="false">IF(H13="","",IF(H13&gt;C13,"Suba para o degrau "&amp;H13&amp;" ("&amp;INDEX(Degraus!$B$5:$B$24,H13)&amp;")",IF(H13&lt;C13,"Desça para o degrau "&amp;H13&amp;" ("&amp;INDEX(Degraus!$B$5:$B$24,H13)&amp;")","Repita o degrau "&amp;C13&amp;" até 3 sessões calmas seguidas")))</f>
        <v/>
      </c>
    </row>
    <row r="14" customFormat="false" ht="15" hidden="false" customHeight="false" outlineLevel="0" collapsed="false">
      <c r="A14" s="18" t="str">
        <f aca="false">IF(B14="","",ROW()-4)</f>
        <v/>
      </c>
      <c r="B14" s="19"/>
      <c r="C14" s="20"/>
      <c r="D14" s="18" t="str">
        <f aca="false">IF(C14="","",INDEX(Degraus!$B$5:$B$24,C14))</f>
        <v/>
      </c>
      <c r="E14" s="20"/>
      <c r="F14" s="21"/>
      <c r="G14" s="18" t="str">
        <f aca="false">IF(B14="","",INT((B14-MIN($B$5:$B$304))/7)+1)</f>
        <v/>
      </c>
      <c r="H14" s="18" t="str">
        <f aca="false">IF(OR(C14="",E14=""),"",IF(E14=3,MAX(1,C14-2),IF(E14=2,MAX(1,C14-1),IF(AND(C13=C14,C12=C14,E13&lt;&gt;"",E12&lt;&gt;"",E13&lt;=1,E12&lt;=1),MIN(20,C14+1),C14))))</f>
        <v/>
      </c>
      <c r="I14" s="22" t="str">
        <f aca="false">IF(H14="","",IF(H14&gt;C14,"Suba para o degrau "&amp;H14&amp;" ("&amp;INDEX(Degraus!$B$5:$B$24,H14)&amp;")",IF(H14&lt;C14,"Desça para o degrau "&amp;H14&amp;" ("&amp;INDEX(Degraus!$B$5:$B$24,H14)&amp;")","Repita o degrau "&amp;C14&amp;" até 3 sessões calmas seguidas")))</f>
        <v/>
      </c>
    </row>
    <row r="15" customFormat="false" ht="15" hidden="false" customHeight="false" outlineLevel="0" collapsed="false">
      <c r="A15" s="18" t="str">
        <f aca="false">IF(B15="","",ROW()-4)</f>
        <v/>
      </c>
      <c r="B15" s="19"/>
      <c r="C15" s="20"/>
      <c r="D15" s="18" t="str">
        <f aca="false">IF(C15="","",INDEX(Degraus!$B$5:$B$24,C15))</f>
        <v/>
      </c>
      <c r="E15" s="20"/>
      <c r="F15" s="21"/>
      <c r="G15" s="18" t="str">
        <f aca="false">IF(B15="","",INT((B15-MIN($B$5:$B$304))/7)+1)</f>
        <v/>
      </c>
      <c r="H15" s="18" t="str">
        <f aca="false">IF(OR(C15="",E15=""),"",IF(E15=3,MAX(1,C15-2),IF(E15=2,MAX(1,C15-1),IF(AND(C14=C15,C13=C15,E14&lt;&gt;"",E13&lt;&gt;"",E14&lt;=1,E13&lt;=1),MIN(20,C15+1),C15))))</f>
        <v/>
      </c>
      <c r="I15" s="22" t="str">
        <f aca="false">IF(H15="","",IF(H15&gt;C15,"Suba para o degrau "&amp;H15&amp;" ("&amp;INDEX(Degraus!$B$5:$B$24,H15)&amp;")",IF(H15&lt;C15,"Desça para o degrau "&amp;H15&amp;" ("&amp;INDEX(Degraus!$B$5:$B$24,H15)&amp;")","Repita o degrau "&amp;C15&amp;" até 3 sessões calmas seguidas")))</f>
        <v/>
      </c>
    </row>
    <row r="16" customFormat="false" ht="15" hidden="false" customHeight="false" outlineLevel="0" collapsed="false">
      <c r="A16" s="18" t="str">
        <f aca="false">IF(B16="","",ROW()-4)</f>
        <v/>
      </c>
      <c r="B16" s="19"/>
      <c r="C16" s="20"/>
      <c r="D16" s="18" t="str">
        <f aca="false">IF(C16="","",INDEX(Degraus!$B$5:$B$24,C16))</f>
        <v/>
      </c>
      <c r="E16" s="20"/>
      <c r="F16" s="21"/>
      <c r="G16" s="18" t="str">
        <f aca="false">IF(B16="","",INT((B16-MIN($B$5:$B$304))/7)+1)</f>
        <v/>
      </c>
      <c r="H16" s="18" t="str">
        <f aca="false">IF(OR(C16="",E16=""),"",IF(E16=3,MAX(1,C16-2),IF(E16=2,MAX(1,C16-1),IF(AND(C15=C16,C14=C16,E15&lt;&gt;"",E14&lt;&gt;"",E15&lt;=1,E14&lt;=1),MIN(20,C16+1),C16))))</f>
        <v/>
      </c>
      <c r="I16" s="22" t="str">
        <f aca="false">IF(H16="","",IF(H16&gt;C16,"Suba para o degrau "&amp;H16&amp;" ("&amp;INDEX(Degraus!$B$5:$B$24,H16)&amp;")",IF(H16&lt;C16,"Desça para o degrau "&amp;H16&amp;" ("&amp;INDEX(Degraus!$B$5:$B$24,H16)&amp;")","Repita o degrau "&amp;C16&amp;" até 3 sessões calmas seguidas")))</f>
        <v/>
      </c>
    </row>
    <row r="17" customFormat="false" ht="15" hidden="false" customHeight="false" outlineLevel="0" collapsed="false">
      <c r="A17" s="18" t="str">
        <f aca="false">IF(B17="","",ROW()-4)</f>
        <v/>
      </c>
      <c r="B17" s="19"/>
      <c r="C17" s="20"/>
      <c r="D17" s="18" t="str">
        <f aca="false">IF(C17="","",INDEX(Degraus!$B$5:$B$24,C17))</f>
        <v/>
      </c>
      <c r="E17" s="20"/>
      <c r="F17" s="21"/>
      <c r="G17" s="18" t="str">
        <f aca="false">IF(B17="","",INT((B17-MIN($B$5:$B$304))/7)+1)</f>
        <v/>
      </c>
      <c r="H17" s="18" t="str">
        <f aca="false">IF(OR(C17="",E17=""),"",IF(E17=3,MAX(1,C17-2),IF(E17=2,MAX(1,C17-1),IF(AND(C16=C17,C15=C17,E16&lt;&gt;"",E15&lt;&gt;"",E16&lt;=1,E15&lt;=1),MIN(20,C17+1),C17))))</f>
        <v/>
      </c>
      <c r="I17" s="22" t="str">
        <f aca="false">IF(H17="","",IF(H17&gt;C17,"Suba para o degrau "&amp;H17&amp;" ("&amp;INDEX(Degraus!$B$5:$B$24,H17)&amp;")",IF(H17&lt;C17,"Desça para o degrau "&amp;H17&amp;" ("&amp;INDEX(Degraus!$B$5:$B$24,H17)&amp;")","Repita o degrau "&amp;C17&amp;" até 3 sessões calmas seguidas")))</f>
        <v/>
      </c>
    </row>
    <row r="18" customFormat="false" ht="15" hidden="false" customHeight="false" outlineLevel="0" collapsed="false">
      <c r="A18" s="18" t="str">
        <f aca="false">IF(B18="","",ROW()-4)</f>
        <v/>
      </c>
      <c r="B18" s="19"/>
      <c r="C18" s="20"/>
      <c r="D18" s="18" t="str">
        <f aca="false">IF(C18="","",INDEX(Degraus!$B$5:$B$24,C18))</f>
        <v/>
      </c>
      <c r="E18" s="20"/>
      <c r="F18" s="21"/>
      <c r="G18" s="18" t="str">
        <f aca="false">IF(B18="","",INT((B18-MIN($B$5:$B$304))/7)+1)</f>
        <v/>
      </c>
      <c r="H18" s="18" t="str">
        <f aca="false">IF(OR(C18="",E18=""),"",IF(E18=3,MAX(1,C18-2),IF(E18=2,MAX(1,C18-1),IF(AND(C17=C18,C16=C18,E17&lt;&gt;"",E16&lt;&gt;"",E17&lt;=1,E16&lt;=1),MIN(20,C18+1),C18))))</f>
        <v/>
      </c>
      <c r="I18" s="22" t="str">
        <f aca="false">IF(H18="","",IF(H18&gt;C18,"Suba para o degrau "&amp;H18&amp;" ("&amp;INDEX(Degraus!$B$5:$B$24,H18)&amp;")",IF(H18&lt;C18,"Desça para o degrau "&amp;H18&amp;" ("&amp;INDEX(Degraus!$B$5:$B$24,H18)&amp;")","Repita o degrau "&amp;C18&amp;" até 3 sessões calmas seguidas")))</f>
        <v/>
      </c>
    </row>
    <row r="19" customFormat="false" ht="15" hidden="false" customHeight="false" outlineLevel="0" collapsed="false">
      <c r="A19" s="18" t="str">
        <f aca="false">IF(B19="","",ROW()-4)</f>
        <v/>
      </c>
      <c r="B19" s="19"/>
      <c r="C19" s="20"/>
      <c r="D19" s="18" t="str">
        <f aca="false">IF(C19="","",INDEX(Degraus!$B$5:$B$24,C19))</f>
        <v/>
      </c>
      <c r="E19" s="20"/>
      <c r="F19" s="21"/>
      <c r="G19" s="18" t="str">
        <f aca="false">IF(B19="","",INT((B19-MIN($B$5:$B$304))/7)+1)</f>
        <v/>
      </c>
      <c r="H19" s="18" t="str">
        <f aca="false">IF(OR(C19="",E19=""),"",IF(E19=3,MAX(1,C19-2),IF(E19=2,MAX(1,C19-1),IF(AND(C18=C19,C17=C19,E18&lt;&gt;"",E17&lt;&gt;"",E18&lt;=1,E17&lt;=1),MIN(20,C19+1),C19))))</f>
        <v/>
      </c>
      <c r="I19" s="22" t="str">
        <f aca="false">IF(H19="","",IF(H19&gt;C19,"Suba para o degrau "&amp;H19&amp;" ("&amp;INDEX(Degraus!$B$5:$B$24,H19)&amp;")",IF(H19&lt;C19,"Desça para o degrau "&amp;H19&amp;" ("&amp;INDEX(Degraus!$B$5:$B$24,H19)&amp;")","Repita o degrau "&amp;C19&amp;" até 3 sessões calmas seguidas")))</f>
        <v/>
      </c>
    </row>
    <row r="20" customFormat="false" ht="15" hidden="false" customHeight="false" outlineLevel="0" collapsed="false">
      <c r="A20" s="18" t="str">
        <f aca="false">IF(B20="","",ROW()-4)</f>
        <v/>
      </c>
      <c r="B20" s="19"/>
      <c r="C20" s="20"/>
      <c r="D20" s="18" t="str">
        <f aca="false">IF(C20="","",INDEX(Degraus!$B$5:$B$24,C20))</f>
        <v/>
      </c>
      <c r="E20" s="20"/>
      <c r="F20" s="21"/>
      <c r="G20" s="18" t="str">
        <f aca="false">IF(B20="","",INT((B20-MIN($B$5:$B$304))/7)+1)</f>
        <v/>
      </c>
      <c r="H20" s="18" t="str">
        <f aca="false">IF(OR(C20="",E20=""),"",IF(E20=3,MAX(1,C20-2),IF(E20=2,MAX(1,C20-1),IF(AND(C19=C20,C18=C20,E19&lt;&gt;"",E18&lt;&gt;"",E19&lt;=1,E18&lt;=1),MIN(20,C20+1),C20))))</f>
        <v/>
      </c>
      <c r="I20" s="22" t="str">
        <f aca="false">IF(H20="","",IF(H20&gt;C20,"Suba para o degrau "&amp;H20&amp;" ("&amp;INDEX(Degraus!$B$5:$B$24,H20)&amp;")",IF(H20&lt;C20,"Desça para o degrau "&amp;H20&amp;" ("&amp;INDEX(Degraus!$B$5:$B$24,H20)&amp;")","Repita o degrau "&amp;C20&amp;" até 3 sessões calmas seguidas")))</f>
        <v/>
      </c>
    </row>
    <row r="21" customFormat="false" ht="15" hidden="false" customHeight="false" outlineLevel="0" collapsed="false">
      <c r="A21" s="18" t="str">
        <f aca="false">IF(B21="","",ROW()-4)</f>
        <v/>
      </c>
      <c r="B21" s="19"/>
      <c r="C21" s="20"/>
      <c r="D21" s="18" t="str">
        <f aca="false">IF(C21="","",INDEX(Degraus!$B$5:$B$24,C21))</f>
        <v/>
      </c>
      <c r="E21" s="20"/>
      <c r="F21" s="21"/>
      <c r="G21" s="18" t="str">
        <f aca="false">IF(B21="","",INT((B21-MIN($B$5:$B$304))/7)+1)</f>
        <v/>
      </c>
      <c r="H21" s="18" t="str">
        <f aca="false">IF(OR(C21="",E21=""),"",IF(E21=3,MAX(1,C21-2),IF(E21=2,MAX(1,C21-1),IF(AND(C20=C21,C19=C21,E20&lt;&gt;"",E19&lt;&gt;"",E20&lt;=1,E19&lt;=1),MIN(20,C21+1),C21))))</f>
        <v/>
      </c>
      <c r="I21" s="22" t="str">
        <f aca="false">IF(H21="","",IF(H21&gt;C21,"Suba para o degrau "&amp;H21&amp;" ("&amp;INDEX(Degraus!$B$5:$B$24,H21)&amp;")",IF(H21&lt;C21,"Desça para o degrau "&amp;H21&amp;" ("&amp;INDEX(Degraus!$B$5:$B$24,H21)&amp;")","Repita o degrau "&amp;C21&amp;" até 3 sessões calmas seguidas")))</f>
        <v/>
      </c>
    </row>
    <row r="22" customFormat="false" ht="15" hidden="false" customHeight="false" outlineLevel="0" collapsed="false">
      <c r="A22" s="18" t="str">
        <f aca="false">IF(B22="","",ROW()-4)</f>
        <v/>
      </c>
      <c r="B22" s="19"/>
      <c r="C22" s="20"/>
      <c r="D22" s="18" t="str">
        <f aca="false">IF(C22="","",INDEX(Degraus!$B$5:$B$24,C22))</f>
        <v/>
      </c>
      <c r="E22" s="20"/>
      <c r="F22" s="21"/>
      <c r="G22" s="18" t="str">
        <f aca="false">IF(B22="","",INT((B22-MIN($B$5:$B$304))/7)+1)</f>
        <v/>
      </c>
      <c r="H22" s="18" t="str">
        <f aca="false">IF(OR(C22="",E22=""),"",IF(E22=3,MAX(1,C22-2),IF(E22=2,MAX(1,C22-1),IF(AND(C21=C22,C20=C22,E21&lt;&gt;"",E20&lt;&gt;"",E21&lt;=1,E20&lt;=1),MIN(20,C22+1),C22))))</f>
        <v/>
      </c>
      <c r="I22" s="22" t="str">
        <f aca="false">IF(H22="","",IF(H22&gt;C22,"Suba para o degrau "&amp;H22&amp;" ("&amp;INDEX(Degraus!$B$5:$B$24,H22)&amp;")",IF(H22&lt;C22,"Desça para o degrau "&amp;H22&amp;" ("&amp;INDEX(Degraus!$B$5:$B$24,H22)&amp;")","Repita o degrau "&amp;C22&amp;" até 3 sessões calmas seguidas")))</f>
        <v/>
      </c>
    </row>
    <row r="23" customFormat="false" ht="15" hidden="false" customHeight="false" outlineLevel="0" collapsed="false">
      <c r="A23" s="18" t="str">
        <f aca="false">IF(B23="","",ROW()-4)</f>
        <v/>
      </c>
      <c r="B23" s="19"/>
      <c r="C23" s="20"/>
      <c r="D23" s="18" t="str">
        <f aca="false">IF(C23="","",INDEX(Degraus!$B$5:$B$24,C23))</f>
        <v/>
      </c>
      <c r="E23" s="20"/>
      <c r="F23" s="21"/>
      <c r="G23" s="18" t="str">
        <f aca="false">IF(B23="","",INT((B23-MIN($B$5:$B$304))/7)+1)</f>
        <v/>
      </c>
      <c r="H23" s="18" t="str">
        <f aca="false">IF(OR(C23="",E23=""),"",IF(E23=3,MAX(1,C23-2),IF(E23=2,MAX(1,C23-1),IF(AND(C22=C23,C21=C23,E22&lt;&gt;"",E21&lt;&gt;"",E22&lt;=1,E21&lt;=1),MIN(20,C23+1),C23))))</f>
        <v/>
      </c>
      <c r="I23" s="22" t="str">
        <f aca="false">IF(H23="","",IF(H23&gt;C23,"Suba para o degrau "&amp;H23&amp;" ("&amp;INDEX(Degraus!$B$5:$B$24,H23)&amp;")",IF(H23&lt;C23,"Desça para o degrau "&amp;H23&amp;" ("&amp;INDEX(Degraus!$B$5:$B$24,H23)&amp;")","Repita o degrau "&amp;C23&amp;" até 3 sessões calmas seguidas")))</f>
        <v/>
      </c>
    </row>
    <row r="24" customFormat="false" ht="15" hidden="false" customHeight="false" outlineLevel="0" collapsed="false">
      <c r="A24" s="18" t="str">
        <f aca="false">IF(B24="","",ROW()-4)</f>
        <v/>
      </c>
      <c r="B24" s="19"/>
      <c r="C24" s="20"/>
      <c r="D24" s="18" t="str">
        <f aca="false">IF(C24="","",INDEX(Degraus!$B$5:$B$24,C24))</f>
        <v/>
      </c>
      <c r="E24" s="20"/>
      <c r="F24" s="21"/>
      <c r="G24" s="18" t="str">
        <f aca="false">IF(B24="","",INT((B24-MIN($B$5:$B$304))/7)+1)</f>
        <v/>
      </c>
      <c r="H24" s="18" t="str">
        <f aca="false">IF(OR(C24="",E24=""),"",IF(E24=3,MAX(1,C24-2),IF(E24=2,MAX(1,C24-1),IF(AND(C23=C24,C22=C24,E23&lt;&gt;"",E22&lt;&gt;"",E23&lt;=1,E22&lt;=1),MIN(20,C24+1),C24))))</f>
        <v/>
      </c>
      <c r="I24" s="22" t="str">
        <f aca="false">IF(H24="","",IF(H24&gt;C24,"Suba para o degrau "&amp;H24&amp;" ("&amp;INDEX(Degraus!$B$5:$B$24,H24)&amp;")",IF(H24&lt;C24,"Desça para o degrau "&amp;H24&amp;" ("&amp;INDEX(Degraus!$B$5:$B$24,H24)&amp;")","Repita o degrau "&amp;C24&amp;" até 3 sessões calmas seguidas")))</f>
        <v/>
      </c>
    </row>
    <row r="25" customFormat="false" ht="15" hidden="false" customHeight="false" outlineLevel="0" collapsed="false">
      <c r="A25" s="18" t="str">
        <f aca="false">IF(B25="","",ROW()-4)</f>
        <v/>
      </c>
      <c r="B25" s="19"/>
      <c r="C25" s="20"/>
      <c r="D25" s="18" t="str">
        <f aca="false">IF(C25="","",INDEX(Degraus!$B$5:$B$24,C25))</f>
        <v/>
      </c>
      <c r="E25" s="20"/>
      <c r="F25" s="21"/>
      <c r="G25" s="18" t="str">
        <f aca="false">IF(B25="","",INT((B25-MIN($B$5:$B$304))/7)+1)</f>
        <v/>
      </c>
      <c r="H25" s="18" t="str">
        <f aca="false">IF(OR(C25="",E25=""),"",IF(E25=3,MAX(1,C25-2),IF(E25=2,MAX(1,C25-1),IF(AND(C24=C25,C23=C25,E24&lt;&gt;"",E23&lt;&gt;"",E24&lt;=1,E23&lt;=1),MIN(20,C25+1),C25))))</f>
        <v/>
      </c>
      <c r="I25" s="22" t="str">
        <f aca="false">IF(H25="","",IF(H25&gt;C25,"Suba para o degrau "&amp;H25&amp;" ("&amp;INDEX(Degraus!$B$5:$B$24,H25)&amp;")",IF(H25&lt;C25,"Desça para o degrau "&amp;H25&amp;" ("&amp;INDEX(Degraus!$B$5:$B$24,H25)&amp;")","Repita o degrau "&amp;C25&amp;" até 3 sessões calmas seguidas")))</f>
        <v/>
      </c>
    </row>
    <row r="26" customFormat="false" ht="15" hidden="false" customHeight="false" outlineLevel="0" collapsed="false">
      <c r="A26" s="18" t="str">
        <f aca="false">IF(B26="","",ROW()-4)</f>
        <v/>
      </c>
      <c r="B26" s="19"/>
      <c r="C26" s="20"/>
      <c r="D26" s="18" t="str">
        <f aca="false">IF(C26="","",INDEX(Degraus!$B$5:$B$24,C26))</f>
        <v/>
      </c>
      <c r="E26" s="20"/>
      <c r="F26" s="21"/>
      <c r="G26" s="18" t="str">
        <f aca="false">IF(B26="","",INT((B26-MIN($B$5:$B$304))/7)+1)</f>
        <v/>
      </c>
      <c r="H26" s="18" t="str">
        <f aca="false">IF(OR(C26="",E26=""),"",IF(E26=3,MAX(1,C26-2),IF(E26=2,MAX(1,C26-1),IF(AND(C25=C26,C24=C26,E25&lt;&gt;"",E24&lt;&gt;"",E25&lt;=1,E24&lt;=1),MIN(20,C26+1),C26))))</f>
        <v/>
      </c>
      <c r="I26" s="22" t="str">
        <f aca="false">IF(H26="","",IF(H26&gt;C26,"Suba para o degrau "&amp;H26&amp;" ("&amp;INDEX(Degraus!$B$5:$B$24,H26)&amp;")",IF(H26&lt;C26,"Desça para o degrau "&amp;H26&amp;" ("&amp;INDEX(Degraus!$B$5:$B$24,H26)&amp;")","Repita o degrau "&amp;C26&amp;" até 3 sessões calmas seguidas")))</f>
        <v/>
      </c>
    </row>
    <row r="27" customFormat="false" ht="15" hidden="false" customHeight="false" outlineLevel="0" collapsed="false">
      <c r="A27" s="18" t="str">
        <f aca="false">IF(B27="","",ROW()-4)</f>
        <v/>
      </c>
      <c r="B27" s="19"/>
      <c r="C27" s="20"/>
      <c r="D27" s="18" t="str">
        <f aca="false">IF(C27="","",INDEX(Degraus!$B$5:$B$24,C27))</f>
        <v/>
      </c>
      <c r="E27" s="20"/>
      <c r="F27" s="21"/>
      <c r="G27" s="18" t="str">
        <f aca="false">IF(B27="","",INT((B27-MIN($B$5:$B$304))/7)+1)</f>
        <v/>
      </c>
      <c r="H27" s="18" t="str">
        <f aca="false">IF(OR(C27="",E27=""),"",IF(E27=3,MAX(1,C27-2),IF(E27=2,MAX(1,C27-1),IF(AND(C26=C27,C25=C27,E26&lt;&gt;"",E25&lt;&gt;"",E26&lt;=1,E25&lt;=1),MIN(20,C27+1),C27))))</f>
        <v/>
      </c>
      <c r="I27" s="22" t="str">
        <f aca="false">IF(H27="","",IF(H27&gt;C27,"Suba para o degrau "&amp;H27&amp;" ("&amp;INDEX(Degraus!$B$5:$B$24,H27)&amp;")",IF(H27&lt;C27,"Desça para o degrau "&amp;H27&amp;" ("&amp;INDEX(Degraus!$B$5:$B$24,H27)&amp;")","Repita o degrau "&amp;C27&amp;" até 3 sessões calmas seguidas")))</f>
        <v/>
      </c>
    </row>
    <row r="28" customFormat="false" ht="15" hidden="false" customHeight="false" outlineLevel="0" collapsed="false">
      <c r="A28" s="18" t="str">
        <f aca="false">IF(B28="","",ROW()-4)</f>
        <v/>
      </c>
      <c r="B28" s="19"/>
      <c r="C28" s="20"/>
      <c r="D28" s="18" t="str">
        <f aca="false">IF(C28="","",INDEX(Degraus!$B$5:$B$24,C28))</f>
        <v/>
      </c>
      <c r="E28" s="20"/>
      <c r="F28" s="21"/>
      <c r="G28" s="18" t="str">
        <f aca="false">IF(B28="","",INT((B28-MIN($B$5:$B$304))/7)+1)</f>
        <v/>
      </c>
      <c r="H28" s="18" t="str">
        <f aca="false">IF(OR(C28="",E28=""),"",IF(E28=3,MAX(1,C28-2),IF(E28=2,MAX(1,C28-1),IF(AND(C27=C28,C26=C28,E27&lt;&gt;"",E26&lt;&gt;"",E27&lt;=1,E26&lt;=1),MIN(20,C28+1),C28))))</f>
        <v/>
      </c>
      <c r="I28" s="22" t="str">
        <f aca="false">IF(H28="","",IF(H28&gt;C28,"Suba para o degrau "&amp;H28&amp;" ("&amp;INDEX(Degraus!$B$5:$B$24,H28)&amp;")",IF(H28&lt;C28,"Desça para o degrau "&amp;H28&amp;" ("&amp;INDEX(Degraus!$B$5:$B$24,H28)&amp;")","Repita o degrau "&amp;C28&amp;" até 3 sessões calmas seguidas")))</f>
        <v/>
      </c>
    </row>
    <row r="29" customFormat="false" ht="15" hidden="false" customHeight="false" outlineLevel="0" collapsed="false">
      <c r="A29" s="18" t="str">
        <f aca="false">IF(B29="","",ROW()-4)</f>
        <v/>
      </c>
      <c r="B29" s="19"/>
      <c r="C29" s="20"/>
      <c r="D29" s="18" t="str">
        <f aca="false">IF(C29="","",INDEX(Degraus!$B$5:$B$24,C29))</f>
        <v/>
      </c>
      <c r="E29" s="20"/>
      <c r="F29" s="21"/>
      <c r="G29" s="18" t="str">
        <f aca="false">IF(B29="","",INT((B29-MIN($B$5:$B$304))/7)+1)</f>
        <v/>
      </c>
      <c r="H29" s="18" t="str">
        <f aca="false">IF(OR(C29="",E29=""),"",IF(E29=3,MAX(1,C29-2),IF(E29=2,MAX(1,C29-1),IF(AND(C28=C29,C27=C29,E28&lt;&gt;"",E27&lt;&gt;"",E28&lt;=1,E27&lt;=1),MIN(20,C29+1),C29))))</f>
        <v/>
      </c>
      <c r="I29" s="22" t="str">
        <f aca="false">IF(H29="","",IF(H29&gt;C29,"Suba para o degrau "&amp;H29&amp;" ("&amp;INDEX(Degraus!$B$5:$B$24,H29)&amp;")",IF(H29&lt;C29,"Desça para o degrau "&amp;H29&amp;" ("&amp;INDEX(Degraus!$B$5:$B$24,H29)&amp;")","Repita o degrau "&amp;C29&amp;" até 3 sessões calmas seguidas")))</f>
        <v/>
      </c>
    </row>
    <row r="30" customFormat="false" ht="15" hidden="false" customHeight="false" outlineLevel="0" collapsed="false">
      <c r="A30" s="18" t="str">
        <f aca="false">IF(B30="","",ROW()-4)</f>
        <v/>
      </c>
      <c r="B30" s="19"/>
      <c r="C30" s="20"/>
      <c r="D30" s="18" t="str">
        <f aca="false">IF(C30="","",INDEX(Degraus!$B$5:$B$24,C30))</f>
        <v/>
      </c>
      <c r="E30" s="20"/>
      <c r="F30" s="21"/>
      <c r="G30" s="18" t="str">
        <f aca="false">IF(B30="","",INT((B30-MIN($B$5:$B$304))/7)+1)</f>
        <v/>
      </c>
      <c r="H30" s="18" t="str">
        <f aca="false">IF(OR(C30="",E30=""),"",IF(E30=3,MAX(1,C30-2),IF(E30=2,MAX(1,C30-1),IF(AND(C29=C30,C28=C30,E29&lt;&gt;"",E28&lt;&gt;"",E29&lt;=1,E28&lt;=1),MIN(20,C30+1),C30))))</f>
        <v/>
      </c>
      <c r="I30" s="22" t="str">
        <f aca="false">IF(H30="","",IF(H30&gt;C30,"Suba para o degrau "&amp;H30&amp;" ("&amp;INDEX(Degraus!$B$5:$B$24,H30)&amp;")",IF(H30&lt;C30,"Desça para o degrau "&amp;H30&amp;" ("&amp;INDEX(Degraus!$B$5:$B$24,H30)&amp;")","Repita o degrau "&amp;C30&amp;" até 3 sessões calmas seguidas")))</f>
        <v/>
      </c>
    </row>
    <row r="31" customFormat="false" ht="15" hidden="false" customHeight="false" outlineLevel="0" collapsed="false">
      <c r="A31" s="18" t="str">
        <f aca="false">IF(B31="","",ROW()-4)</f>
        <v/>
      </c>
      <c r="B31" s="19"/>
      <c r="C31" s="20"/>
      <c r="D31" s="18" t="str">
        <f aca="false">IF(C31="","",INDEX(Degraus!$B$5:$B$24,C31))</f>
        <v/>
      </c>
      <c r="E31" s="20"/>
      <c r="F31" s="21"/>
      <c r="G31" s="18" t="str">
        <f aca="false">IF(B31="","",INT((B31-MIN($B$5:$B$304))/7)+1)</f>
        <v/>
      </c>
      <c r="H31" s="18" t="str">
        <f aca="false">IF(OR(C31="",E31=""),"",IF(E31=3,MAX(1,C31-2),IF(E31=2,MAX(1,C31-1),IF(AND(C30=C31,C29=C31,E30&lt;&gt;"",E29&lt;&gt;"",E30&lt;=1,E29&lt;=1),MIN(20,C31+1),C31))))</f>
        <v/>
      </c>
      <c r="I31" s="22" t="str">
        <f aca="false">IF(H31="","",IF(H31&gt;C31,"Suba para o degrau "&amp;H31&amp;" ("&amp;INDEX(Degraus!$B$5:$B$24,H31)&amp;")",IF(H31&lt;C31,"Desça para o degrau "&amp;H31&amp;" ("&amp;INDEX(Degraus!$B$5:$B$24,H31)&amp;")","Repita o degrau "&amp;C31&amp;" até 3 sessões calmas seguidas")))</f>
        <v/>
      </c>
    </row>
    <row r="32" customFormat="false" ht="15" hidden="false" customHeight="false" outlineLevel="0" collapsed="false">
      <c r="A32" s="18" t="str">
        <f aca="false">IF(B32="","",ROW()-4)</f>
        <v/>
      </c>
      <c r="B32" s="19"/>
      <c r="C32" s="20"/>
      <c r="D32" s="18" t="str">
        <f aca="false">IF(C32="","",INDEX(Degraus!$B$5:$B$24,C32))</f>
        <v/>
      </c>
      <c r="E32" s="20"/>
      <c r="F32" s="21"/>
      <c r="G32" s="18" t="str">
        <f aca="false">IF(B32="","",INT((B32-MIN($B$5:$B$304))/7)+1)</f>
        <v/>
      </c>
      <c r="H32" s="18" t="str">
        <f aca="false">IF(OR(C32="",E32=""),"",IF(E32=3,MAX(1,C32-2),IF(E32=2,MAX(1,C32-1),IF(AND(C31=C32,C30=C32,E31&lt;&gt;"",E30&lt;&gt;"",E31&lt;=1,E30&lt;=1),MIN(20,C32+1),C32))))</f>
        <v/>
      </c>
      <c r="I32" s="22" t="str">
        <f aca="false">IF(H32="","",IF(H32&gt;C32,"Suba para o degrau "&amp;H32&amp;" ("&amp;INDEX(Degraus!$B$5:$B$24,H32)&amp;")",IF(H32&lt;C32,"Desça para o degrau "&amp;H32&amp;" ("&amp;INDEX(Degraus!$B$5:$B$24,H32)&amp;")","Repita o degrau "&amp;C32&amp;" até 3 sessões calmas seguidas")))</f>
        <v/>
      </c>
    </row>
    <row r="33" customFormat="false" ht="15" hidden="false" customHeight="false" outlineLevel="0" collapsed="false">
      <c r="A33" s="18" t="str">
        <f aca="false">IF(B33="","",ROW()-4)</f>
        <v/>
      </c>
      <c r="B33" s="19"/>
      <c r="C33" s="20"/>
      <c r="D33" s="18" t="str">
        <f aca="false">IF(C33="","",INDEX(Degraus!$B$5:$B$24,C33))</f>
        <v/>
      </c>
      <c r="E33" s="20"/>
      <c r="F33" s="21"/>
      <c r="G33" s="18" t="str">
        <f aca="false">IF(B33="","",INT((B33-MIN($B$5:$B$304))/7)+1)</f>
        <v/>
      </c>
      <c r="H33" s="18" t="str">
        <f aca="false">IF(OR(C33="",E33=""),"",IF(E33=3,MAX(1,C33-2),IF(E33=2,MAX(1,C33-1),IF(AND(C32=C33,C31=C33,E32&lt;&gt;"",E31&lt;&gt;"",E32&lt;=1,E31&lt;=1),MIN(20,C33+1),C33))))</f>
        <v/>
      </c>
      <c r="I33" s="22" t="str">
        <f aca="false">IF(H33="","",IF(H33&gt;C33,"Suba para o degrau "&amp;H33&amp;" ("&amp;INDEX(Degraus!$B$5:$B$24,H33)&amp;")",IF(H33&lt;C33,"Desça para o degrau "&amp;H33&amp;" ("&amp;INDEX(Degraus!$B$5:$B$24,H33)&amp;")","Repita o degrau "&amp;C33&amp;" até 3 sessões calmas seguidas")))</f>
        <v/>
      </c>
    </row>
    <row r="34" customFormat="false" ht="15" hidden="false" customHeight="false" outlineLevel="0" collapsed="false">
      <c r="A34" s="18" t="str">
        <f aca="false">IF(B34="","",ROW()-4)</f>
        <v/>
      </c>
      <c r="B34" s="19"/>
      <c r="C34" s="20"/>
      <c r="D34" s="18" t="str">
        <f aca="false">IF(C34="","",INDEX(Degraus!$B$5:$B$24,C34))</f>
        <v/>
      </c>
      <c r="E34" s="20"/>
      <c r="F34" s="21"/>
      <c r="G34" s="18" t="str">
        <f aca="false">IF(B34="","",INT((B34-MIN($B$5:$B$304))/7)+1)</f>
        <v/>
      </c>
      <c r="H34" s="18" t="str">
        <f aca="false">IF(OR(C34="",E34=""),"",IF(E34=3,MAX(1,C34-2),IF(E34=2,MAX(1,C34-1),IF(AND(C33=C34,C32=C34,E33&lt;&gt;"",E32&lt;&gt;"",E33&lt;=1,E32&lt;=1),MIN(20,C34+1),C34))))</f>
        <v/>
      </c>
      <c r="I34" s="22" t="str">
        <f aca="false">IF(H34="","",IF(H34&gt;C34,"Suba para o degrau "&amp;H34&amp;" ("&amp;INDEX(Degraus!$B$5:$B$24,H34)&amp;")",IF(H34&lt;C34,"Desça para o degrau "&amp;H34&amp;" ("&amp;INDEX(Degraus!$B$5:$B$24,H34)&amp;")","Repita o degrau "&amp;C34&amp;" até 3 sessões calmas seguidas")))</f>
        <v/>
      </c>
    </row>
    <row r="35" customFormat="false" ht="15" hidden="false" customHeight="false" outlineLevel="0" collapsed="false">
      <c r="A35" s="18" t="str">
        <f aca="false">IF(B35="","",ROW()-4)</f>
        <v/>
      </c>
      <c r="B35" s="19"/>
      <c r="C35" s="20"/>
      <c r="D35" s="18" t="str">
        <f aca="false">IF(C35="","",INDEX(Degraus!$B$5:$B$24,C35))</f>
        <v/>
      </c>
      <c r="E35" s="20"/>
      <c r="F35" s="21"/>
      <c r="G35" s="18" t="str">
        <f aca="false">IF(B35="","",INT((B35-MIN($B$5:$B$304))/7)+1)</f>
        <v/>
      </c>
      <c r="H35" s="18" t="str">
        <f aca="false">IF(OR(C35="",E35=""),"",IF(E35=3,MAX(1,C35-2),IF(E35=2,MAX(1,C35-1),IF(AND(C34=C35,C33=C35,E34&lt;&gt;"",E33&lt;&gt;"",E34&lt;=1,E33&lt;=1),MIN(20,C35+1),C35))))</f>
        <v/>
      </c>
      <c r="I35" s="22" t="str">
        <f aca="false">IF(H35="","",IF(H35&gt;C35,"Suba para o degrau "&amp;H35&amp;" ("&amp;INDEX(Degraus!$B$5:$B$24,H35)&amp;")",IF(H35&lt;C35,"Desça para o degrau "&amp;H35&amp;" ("&amp;INDEX(Degraus!$B$5:$B$24,H35)&amp;")","Repita o degrau "&amp;C35&amp;" até 3 sessões calmas seguidas")))</f>
        <v/>
      </c>
    </row>
    <row r="36" customFormat="false" ht="15" hidden="false" customHeight="false" outlineLevel="0" collapsed="false">
      <c r="A36" s="18" t="str">
        <f aca="false">IF(B36="","",ROW()-4)</f>
        <v/>
      </c>
      <c r="B36" s="19"/>
      <c r="C36" s="20"/>
      <c r="D36" s="18" t="str">
        <f aca="false">IF(C36="","",INDEX(Degraus!$B$5:$B$24,C36))</f>
        <v/>
      </c>
      <c r="E36" s="20"/>
      <c r="F36" s="21"/>
      <c r="G36" s="18" t="str">
        <f aca="false">IF(B36="","",INT((B36-MIN($B$5:$B$304))/7)+1)</f>
        <v/>
      </c>
      <c r="H36" s="18" t="str">
        <f aca="false">IF(OR(C36="",E36=""),"",IF(E36=3,MAX(1,C36-2),IF(E36=2,MAX(1,C36-1),IF(AND(C35=C36,C34=C36,E35&lt;&gt;"",E34&lt;&gt;"",E35&lt;=1,E34&lt;=1),MIN(20,C36+1),C36))))</f>
        <v/>
      </c>
      <c r="I36" s="22" t="str">
        <f aca="false">IF(H36="","",IF(H36&gt;C36,"Suba para o degrau "&amp;H36&amp;" ("&amp;INDEX(Degraus!$B$5:$B$24,H36)&amp;")",IF(H36&lt;C36,"Desça para o degrau "&amp;H36&amp;" ("&amp;INDEX(Degraus!$B$5:$B$24,H36)&amp;")","Repita o degrau "&amp;C36&amp;" até 3 sessões calmas seguidas")))</f>
        <v/>
      </c>
    </row>
    <row r="37" customFormat="false" ht="15" hidden="false" customHeight="false" outlineLevel="0" collapsed="false">
      <c r="A37" s="18" t="str">
        <f aca="false">IF(B37="","",ROW()-4)</f>
        <v/>
      </c>
      <c r="B37" s="19"/>
      <c r="C37" s="20"/>
      <c r="D37" s="18" t="str">
        <f aca="false">IF(C37="","",INDEX(Degraus!$B$5:$B$24,C37))</f>
        <v/>
      </c>
      <c r="E37" s="20"/>
      <c r="F37" s="21"/>
      <c r="G37" s="18" t="str">
        <f aca="false">IF(B37="","",INT((B37-MIN($B$5:$B$304))/7)+1)</f>
        <v/>
      </c>
      <c r="H37" s="18" t="str">
        <f aca="false">IF(OR(C37="",E37=""),"",IF(E37=3,MAX(1,C37-2),IF(E37=2,MAX(1,C37-1),IF(AND(C36=C37,C35=C37,E36&lt;&gt;"",E35&lt;&gt;"",E36&lt;=1,E35&lt;=1),MIN(20,C37+1),C37))))</f>
        <v/>
      </c>
      <c r="I37" s="22" t="str">
        <f aca="false">IF(H37="","",IF(H37&gt;C37,"Suba para o degrau "&amp;H37&amp;" ("&amp;INDEX(Degraus!$B$5:$B$24,H37)&amp;")",IF(H37&lt;C37,"Desça para o degrau "&amp;H37&amp;" ("&amp;INDEX(Degraus!$B$5:$B$24,H37)&amp;")","Repita o degrau "&amp;C37&amp;" até 3 sessões calmas seguidas")))</f>
        <v/>
      </c>
    </row>
    <row r="38" customFormat="false" ht="15" hidden="false" customHeight="false" outlineLevel="0" collapsed="false">
      <c r="A38" s="18" t="str">
        <f aca="false">IF(B38="","",ROW()-4)</f>
        <v/>
      </c>
      <c r="B38" s="19"/>
      <c r="C38" s="20"/>
      <c r="D38" s="18" t="str">
        <f aca="false">IF(C38="","",INDEX(Degraus!$B$5:$B$24,C38))</f>
        <v/>
      </c>
      <c r="E38" s="20"/>
      <c r="F38" s="21"/>
      <c r="G38" s="18" t="str">
        <f aca="false">IF(B38="","",INT((B38-MIN($B$5:$B$304))/7)+1)</f>
        <v/>
      </c>
      <c r="H38" s="18" t="str">
        <f aca="false">IF(OR(C38="",E38=""),"",IF(E38=3,MAX(1,C38-2),IF(E38=2,MAX(1,C38-1),IF(AND(C37=C38,C36=C38,E37&lt;&gt;"",E36&lt;&gt;"",E37&lt;=1,E36&lt;=1),MIN(20,C38+1),C38))))</f>
        <v/>
      </c>
      <c r="I38" s="22" t="str">
        <f aca="false">IF(H38="","",IF(H38&gt;C38,"Suba para o degrau "&amp;H38&amp;" ("&amp;INDEX(Degraus!$B$5:$B$24,H38)&amp;")",IF(H38&lt;C38,"Desça para o degrau "&amp;H38&amp;" ("&amp;INDEX(Degraus!$B$5:$B$24,H38)&amp;")","Repita o degrau "&amp;C38&amp;" até 3 sessões calmas seguidas")))</f>
        <v/>
      </c>
    </row>
    <row r="39" customFormat="false" ht="15" hidden="false" customHeight="false" outlineLevel="0" collapsed="false">
      <c r="A39" s="18" t="str">
        <f aca="false">IF(B39="","",ROW()-4)</f>
        <v/>
      </c>
      <c r="B39" s="19"/>
      <c r="C39" s="20"/>
      <c r="D39" s="18" t="str">
        <f aca="false">IF(C39="","",INDEX(Degraus!$B$5:$B$24,C39))</f>
        <v/>
      </c>
      <c r="E39" s="20"/>
      <c r="F39" s="21"/>
      <c r="G39" s="18" t="str">
        <f aca="false">IF(B39="","",INT((B39-MIN($B$5:$B$304))/7)+1)</f>
        <v/>
      </c>
      <c r="H39" s="18" t="str">
        <f aca="false">IF(OR(C39="",E39=""),"",IF(E39=3,MAX(1,C39-2),IF(E39=2,MAX(1,C39-1),IF(AND(C38=C39,C37=C39,E38&lt;&gt;"",E37&lt;&gt;"",E38&lt;=1,E37&lt;=1),MIN(20,C39+1),C39))))</f>
        <v/>
      </c>
      <c r="I39" s="22" t="str">
        <f aca="false">IF(H39="","",IF(H39&gt;C39,"Suba para o degrau "&amp;H39&amp;" ("&amp;INDEX(Degraus!$B$5:$B$24,H39)&amp;")",IF(H39&lt;C39,"Desça para o degrau "&amp;H39&amp;" ("&amp;INDEX(Degraus!$B$5:$B$24,H39)&amp;")","Repita o degrau "&amp;C39&amp;" até 3 sessões calmas seguidas")))</f>
        <v/>
      </c>
    </row>
    <row r="40" customFormat="false" ht="15" hidden="false" customHeight="false" outlineLevel="0" collapsed="false">
      <c r="A40" s="18" t="str">
        <f aca="false">IF(B40="","",ROW()-4)</f>
        <v/>
      </c>
      <c r="B40" s="19"/>
      <c r="C40" s="20"/>
      <c r="D40" s="18" t="str">
        <f aca="false">IF(C40="","",INDEX(Degraus!$B$5:$B$24,C40))</f>
        <v/>
      </c>
      <c r="E40" s="20"/>
      <c r="F40" s="21"/>
      <c r="G40" s="18" t="str">
        <f aca="false">IF(B40="","",INT((B40-MIN($B$5:$B$304))/7)+1)</f>
        <v/>
      </c>
      <c r="H40" s="18" t="str">
        <f aca="false">IF(OR(C40="",E40=""),"",IF(E40=3,MAX(1,C40-2),IF(E40=2,MAX(1,C40-1),IF(AND(C39=C40,C38=C40,E39&lt;&gt;"",E38&lt;&gt;"",E39&lt;=1,E38&lt;=1),MIN(20,C40+1),C40))))</f>
        <v/>
      </c>
      <c r="I40" s="22" t="str">
        <f aca="false">IF(H40="","",IF(H40&gt;C40,"Suba para o degrau "&amp;H40&amp;" ("&amp;INDEX(Degraus!$B$5:$B$24,H40)&amp;")",IF(H40&lt;C40,"Desça para o degrau "&amp;H40&amp;" ("&amp;INDEX(Degraus!$B$5:$B$24,H40)&amp;")","Repita o degrau "&amp;C40&amp;" até 3 sessões calmas seguidas")))</f>
        <v/>
      </c>
    </row>
    <row r="41" customFormat="false" ht="15" hidden="false" customHeight="false" outlineLevel="0" collapsed="false">
      <c r="A41" s="18" t="str">
        <f aca="false">IF(B41="","",ROW()-4)</f>
        <v/>
      </c>
      <c r="B41" s="19"/>
      <c r="C41" s="20"/>
      <c r="D41" s="18" t="str">
        <f aca="false">IF(C41="","",INDEX(Degraus!$B$5:$B$24,C41))</f>
        <v/>
      </c>
      <c r="E41" s="20"/>
      <c r="F41" s="21"/>
      <c r="G41" s="18" t="str">
        <f aca="false">IF(B41="","",INT((B41-MIN($B$5:$B$304))/7)+1)</f>
        <v/>
      </c>
      <c r="H41" s="18" t="str">
        <f aca="false">IF(OR(C41="",E41=""),"",IF(E41=3,MAX(1,C41-2),IF(E41=2,MAX(1,C41-1),IF(AND(C40=C41,C39=C41,E40&lt;&gt;"",E39&lt;&gt;"",E40&lt;=1,E39&lt;=1),MIN(20,C41+1),C41))))</f>
        <v/>
      </c>
      <c r="I41" s="22" t="str">
        <f aca="false">IF(H41="","",IF(H41&gt;C41,"Suba para o degrau "&amp;H41&amp;" ("&amp;INDEX(Degraus!$B$5:$B$24,H41)&amp;")",IF(H41&lt;C41,"Desça para o degrau "&amp;H41&amp;" ("&amp;INDEX(Degraus!$B$5:$B$24,H41)&amp;")","Repita o degrau "&amp;C41&amp;" até 3 sessões calmas seguidas")))</f>
        <v/>
      </c>
    </row>
    <row r="42" customFormat="false" ht="15" hidden="false" customHeight="false" outlineLevel="0" collapsed="false">
      <c r="A42" s="18" t="str">
        <f aca="false">IF(B42="","",ROW()-4)</f>
        <v/>
      </c>
      <c r="B42" s="19"/>
      <c r="C42" s="20"/>
      <c r="D42" s="18" t="str">
        <f aca="false">IF(C42="","",INDEX(Degraus!$B$5:$B$24,C42))</f>
        <v/>
      </c>
      <c r="E42" s="20"/>
      <c r="F42" s="21"/>
      <c r="G42" s="18" t="str">
        <f aca="false">IF(B42="","",INT((B42-MIN($B$5:$B$304))/7)+1)</f>
        <v/>
      </c>
      <c r="H42" s="18" t="str">
        <f aca="false">IF(OR(C42="",E42=""),"",IF(E42=3,MAX(1,C42-2),IF(E42=2,MAX(1,C42-1),IF(AND(C41=C42,C40=C42,E41&lt;&gt;"",E40&lt;&gt;"",E41&lt;=1,E40&lt;=1),MIN(20,C42+1),C42))))</f>
        <v/>
      </c>
      <c r="I42" s="22" t="str">
        <f aca="false">IF(H42="","",IF(H42&gt;C42,"Suba para o degrau "&amp;H42&amp;" ("&amp;INDEX(Degraus!$B$5:$B$24,H42)&amp;")",IF(H42&lt;C42,"Desça para o degrau "&amp;H42&amp;" ("&amp;INDEX(Degraus!$B$5:$B$24,H42)&amp;")","Repita o degrau "&amp;C42&amp;" até 3 sessões calmas seguidas")))</f>
        <v/>
      </c>
    </row>
    <row r="43" customFormat="false" ht="15" hidden="false" customHeight="false" outlineLevel="0" collapsed="false">
      <c r="A43" s="18" t="str">
        <f aca="false">IF(B43="","",ROW()-4)</f>
        <v/>
      </c>
      <c r="B43" s="19"/>
      <c r="C43" s="20"/>
      <c r="D43" s="18" t="str">
        <f aca="false">IF(C43="","",INDEX(Degraus!$B$5:$B$24,C43))</f>
        <v/>
      </c>
      <c r="E43" s="20"/>
      <c r="F43" s="21"/>
      <c r="G43" s="18" t="str">
        <f aca="false">IF(B43="","",INT((B43-MIN($B$5:$B$304))/7)+1)</f>
        <v/>
      </c>
      <c r="H43" s="18" t="str">
        <f aca="false">IF(OR(C43="",E43=""),"",IF(E43=3,MAX(1,C43-2),IF(E43=2,MAX(1,C43-1),IF(AND(C42=C43,C41=C43,E42&lt;&gt;"",E41&lt;&gt;"",E42&lt;=1,E41&lt;=1),MIN(20,C43+1),C43))))</f>
        <v/>
      </c>
      <c r="I43" s="22" t="str">
        <f aca="false">IF(H43="","",IF(H43&gt;C43,"Suba para o degrau "&amp;H43&amp;" ("&amp;INDEX(Degraus!$B$5:$B$24,H43)&amp;")",IF(H43&lt;C43,"Desça para o degrau "&amp;H43&amp;" ("&amp;INDEX(Degraus!$B$5:$B$24,H43)&amp;")","Repita o degrau "&amp;C43&amp;" até 3 sessões calmas seguidas")))</f>
        <v/>
      </c>
    </row>
    <row r="44" customFormat="false" ht="15" hidden="false" customHeight="false" outlineLevel="0" collapsed="false">
      <c r="A44" s="18" t="str">
        <f aca="false">IF(B44="","",ROW()-4)</f>
        <v/>
      </c>
      <c r="B44" s="19"/>
      <c r="C44" s="20"/>
      <c r="D44" s="18" t="str">
        <f aca="false">IF(C44="","",INDEX(Degraus!$B$5:$B$24,C44))</f>
        <v/>
      </c>
      <c r="E44" s="20"/>
      <c r="F44" s="21"/>
      <c r="G44" s="18" t="str">
        <f aca="false">IF(B44="","",INT((B44-MIN($B$5:$B$304))/7)+1)</f>
        <v/>
      </c>
      <c r="H44" s="18" t="str">
        <f aca="false">IF(OR(C44="",E44=""),"",IF(E44=3,MAX(1,C44-2),IF(E44=2,MAX(1,C44-1),IF(AND(C43=C44,C42=C44,E43&lt;&gt;"",E42&lt;&gt;"",E43&lt;=1,E42&lt;=1),MIN(20,C44+1),C44))))</f>
        <v/>
      </c>
      <c r="I44" s="22" t="str">
        <f aca="false">IF(H44="","",IF(H44&gt;C44,"Suba para o degrau "&amp;H44&amp;" ("&amp;INDEX(Degraus!$B$5:$B$24,H44)&amp;")",IF(H44&lt;C44,"Desça para o degrau "&amp;H44&amp;" ("&amp;INDEX(Degraus!$B$5:$B$24,H44)&amp;")","Repita o degrau "&amp;C44&amp;" até 3 sessões calmas seguidas")))</f>
        <v/>
      </c>
    </row>
    <row r="45" customFormat="false" ht="15" hidden="false" customHeight="false" outlineLevel="0" collapsed="false">
      <c r="A45" s="18" t="str">
        <f aca="false">IF(B45="","",ROW()-4)</f>
        <v/>
      </c>
      <c r="B45" s="19"/>
      <c r="C45" s="20"/>
      <c r="D45" s="18" t="str">
        <f aca="false">IF(C45="","",INDEX(Degraus!$B$5:$B$24,C45))</f>
        <v/>
      </c>
      <c r="E45" s="20"/>
      <c r="F45" s="21"/>
      <c r="G45" s="18" t="str">
        <f aca="false">IF(B45="","",INT((B45-MIN($B$5:$B$304))/7)+1)</f>
        <v/>
      </c>
      <c r="H45" s="18" t="str">
        <f aca="false">IF(OR(C45="",E45=""),"",IF(E45=3,MAX(1,C45-2),IF(E45=2,MAX(1,C45-1),IF(AND(C44=C45,C43=C45,E44&lt;&gt;"",E43&lt;&gt;"",E44&lt;=1,E43&lt;=1),MIN(20,C45+1),C45))))</f>
        <v/>
      </c>
      <c r="I45" s="22" t="str">
        <f aca="false">IF(H45="","",IF(H45&gt;C45,"Suba para o degrau "&amp;H45&amp;" ("&amp;INDEX(Degraus!$B$5:$B$24,H45)&amp;")",IF(H45&lt;C45,"Desça para o degrau "&amp;H45&amp;" ("&amp;INDEX(Degraus!$B$5:$B$24,H45)&amp;")","Repita o degrau "&amp;C45&amp;" até 3 sessões calmas seguidas")))</f>
        <v/>
      </c>
    </row>
    <row r="46" customFormat="false" ht="15" hidden="false" customHeight="false" outlineLevel="0" collapsed="false">
      <c r="A46" s="18" t="str">
        <f aca="false">IF(B46="","",ROW()-4)</f>
        <v/>
      </c>
      <c r="B46" s="19"/>
      <c r="C46" s="20"/>
      <c r="D46" s="18" t="str">
        <f aca="false">IF(C46="","",INDEX(Degraus!$B$5:$B$24,C46))</f>
        <v/>
      </c>
      <c r="E46" s="20"/>
      <c r="F46" s="21"/>
      <c r="G46" s="18" t="str">
        <f aca="false">IF(B46="","",INT((B46-MIN($B$5:$B$304))/7)+1)</f>
        <v/>
      </c>
      <c r="H46" s="18" t="str">
        <f aca="false">IF(OR(C46="",E46=""),"",IF(E46=3,MAX(1,C46-2),IF(E46=2,MAX(1,C46-1),IF(AND(C45=C46,C44=C46,E45&lt;&gt;"",E44&lt;&gt;"",E45&lt;=1,E44&lt;=1),MIN(20,C46+1),C46))))</f>
        <v/>
      </c>
      <c r="I46" s="22" t="str">
        <f aca="false">IF(H46="","",IF(H46&gt;C46,"Suba para o degrau "&amp;H46&amp;" ("&amp;INDEX(Degraus!$B$5:$B$24,H46)&amp;")",IF(H46&lt;C46,"Desça para o degrau "&amp;H46&amp;" ("&amp;INDEX(Degraus!$B$5:$B$24,H46)&amp;")","Repita o degrau "&amp;C46&amp;" até 3 sessões calmas seguidas")))</f>
        <v/>
      </c>
    </row>
    <row r="47" customFormat="false" ht="15" hidden="false" customHeight="false" outlineLevel="0" collapsed="false">
      <c r="A47" s="18" t="str">
        <f aca="false">IF(B47="","",ROW()-4)</f>
        <v/>
      </c>
      <c r="B47" s="19"/>
      <c r="C47" s="20"/>
      <c r="D47" s="18" t="str">
        <f aca="false">IF(C47="","",INDEX(Degraus!$B$5:$B$24,C47))</f>
        <v/>
      </c>
      <c r="E47" s="20"/>
      <c r="F47" s="21"/>
      <c r="G47" s="18" t="str">
        <f aca="false">IF(B47="","",INT((B47-MIN($B$5:$B$304))/7)+1)</f>
        <v/>
      </c>
      <c r="H47" s="18" t="str">
        <f aca="false">IF(OR(C47="",E47=""),"",IF(E47=3,MAX(1,C47-2),IF(E47=2,MAX(1,C47-1),IF(AND(C46=C47,C45=C47,E46&lt;&gt;"",E45&lt;&gt;"",E46&lt;=1,E45&lt;=1),MIN(20,C47+1),C47))))</f>
        <v/>
      </c>
      <c r="I47" s="22" t="str">
        <f aca="false">IF(H47="","",IF(H47&gt;C47,"Suba para o degrau "&amp;H47&amp;" ("&amp;INDEX(Degraus!$B$5:$B$24,H47)&amp;")",IF(H47&lt;C47,"Desça para o degrau "&amp;H47&amp;" ("&amp;INDEX(Degraus!$B$5:$B$24,H47)&amp;")","Repita o degrau "&amp;C47&amp;" até 3 sessões calmas seguidas")))</f>
        <v/>
      </c>
    </row>
    <row r="48" customFormat="false" ht="15" hidden="false" customHeight="false" outlineLevel="0" collapsed="false">
      <c r="A48" s="18" t="str">
        <f aca="false">IF(B48="","",ROW()-4)</f>
        <v/>
      </c>
      <c r="B48" s="19"/>
      <c r="C48" s="20"/>
      <c r="D48" s="18" t="str">
        <f aca="false">IF(C48="","",INDEX(Degraus!$B$5:$B$24,C48))</f>
        <v/>
      </c>
      <c r="E48" s="20"/>
      <c r="F48" s="21"/>
      <c r="G48" s="18" t="str">
        <f aca="false">IF(B48="","",INT((B48-MIN($B$5:$B$304))/7)+1)</f>
        <v/>
      </c>
      <c r="H48" s="18" t="str">
        <f aca="false">IF(OR(C48="",E48=""),"",IF(E48=3,MAX(1,C48-2),IF(E48=2,MAX(1,C48-1),IF(AND(C47=C48,C46=C48,E47&lt;&gt;"",E46&lt;&gt;"",E47&lt;=1,E46&lt;=1),MIN(20,C48+1),C48))))</f>
        <v/>
      </c>
      <c r="I48" s="22" t="str">
        <f aca="false">IF(H48="","",IF(H48&gt;C48,"Suba para o degrau "&amp;H48&amp;" ("&amp;INDEX(Degraus!$B$5:$B$24,H48)&amp;")",IF(H48&lt;C48,"Desça para o degrau "&amp;H48&amp;" ("&amp;INDEX(Degraus!$B$5:$B$24,H48)&amp;")","Repita o degrau "&amp;C48&amp;" até 3 sessões calmas seguidas")))</f>
        <v/>
      </c>
    </row>
    <row r="49" customFormat="false" ht="15" hidden="false" customHeight="false" outlineLevel="0" collapsed="false">
      <c r="A49" s="18" t="str">
        <f aca="false">IF(B49="","",ROW()-4)</f>
        <v/>
      </c>
      <c r="B49" s="19"/>
      <c r="C49" s="20"/>
      <c r="D49" s="18" t="str">
        <f aca="false">IF(C49="","",INDEX(Degraus!$B$5:$B$24,C49))</f>
        <v/>
      </c>
      <c r="E49" s="20"/>
      <c r="F49" s="21"/>
      <c r="G49" s="18" t="str">
        <f aca="false">IF(B49="","",INT((B49-MIN($B$5:$B$304))/7)+1)</f>
        <v/>
      </c>
      <c r="H49" s="18" t="str">
        <f aca="false">IF(OR(C49="",E49=""),"",IF(E49=3,MAX(1,C49-2),IF(E49=2,MAX(1,C49-1),IF(AND(C48=C49,C47=C49,E48&lt;&gt;"",E47&lt;&gt;"",E48&lt;=1,E47&lt;=1),MIN(20,C49+1),C49))))</f>
        <v/>
      </c>
      <c r="I49" s="22" t="str">
        <f aca="false">IF(H49="","",IF(H49&gt;C49,"Suba para o degrau "&amp;H49&amp;" ("&amp;INDEX(Degraus!$B$5:$B$24,H49)&amp;")",IF(H49&lt;C49,"Desça para o degrau "&amp;H49&amp;" ("&amp;INDEX(Degraus!$B$5:$B$24,H49)&amp;")","Repita o degrau "&amp;C49&amp;" até 3 sessões calmas seguidas")))</f>
        <v/>
      </c>
    </row>
    <row r="50" customFormat="false" ht="15" hidden="false" customHeight="false" outlineLevel="0" collapsed="false">
      <c r="A50" s="18" t="str">
        <f aca="false">IF(B50="","",ROW()-4)</f>
        <v/>
      </c>
      <c r="B50" s="19"/>
      <c r="C50" s="20"/>
      <c r="D50" s="18" t="str">
        <f aca="false">IF(C50="","",INDEX(Degraus!$B$5:$B$24,C50))</f>
        <v/>
      </c>
      <c r="E50" s="20"/>
      <c r="F50" s="21"/>
      <c r="G50" s="18" t="str">
        <f aca="false">IF(B50="","",INT((B50-MIN($B$5:$B$304))/7)+1)</f>
        <v/>
      </c>
      <c r="H50" s="18" t="str">
        <f aca="false">IF(OR(C50="",E50=""),"",IF(E50=3,MAX(1,C50-2),IF(E50=2,MAX(1,C50-1),IF(AND(C49=C50,C48=C50,E49&lt;&gt;"",E48&lt;&gt;"",E49&lt;=1,E48&lt;=1),MIN(20,C50+1),C50))))</f>
        <v/>
      </c>
      <c r="I50" s="22" t="str">
        <f aca="false">IF(H50="","",IF(H50&gt;C50,"Suba para o degrau "&amp;H50&amp;" ("&amp;INDEX(Degraus!$B$5:$B$24,H50)&amp;")",IF(H50&lt;C50,"Desça para o degrau "&amp;H50&amp;" ("&amp;INDEX(Degraus!$B$5:$B$24,H50)&amp;")","Repita o degrau "&amp;C50&amp;" até 3 sessões calmas seguidas")))</f>
        <v/>
      </c>
    </row>
    <row r="51" customFormat="false" ht="15" hidden="false" customHeight="false" outlineLevel="0" collapsed="false">
      <c r="A51" s="18" t="str">
        <f aca="false">IF(B51="","",ROW()-4)</f>
        <v/>
      </c>
      <c r="B51" s="19"/>
      <c r="C51" s="20"/>
      <c r="D51" s="18" t="str">
        <f aca="false">IF(C51="","",INDEX(Degraus!$B$5:$B$24,C51))</f>
        <v/>
      </c>
      <c r="E51" s="20"/>
      <c r="F51" s="21"/>
      <c r="G51" s="18" t="str">
        <f aca="false">IF(B51="","",INT((B51-MIN($B$5:$B$304))/7)+1)</f>
        <v/>
      </c>
      <c r="H51" s="18" t="str">
        <f aca="false">IF(OR(C51="",E51=""),"",IF(E51=3,MAX(1,C51-2),IF(E51=2,MAX(1,C51-1),IF(AND(C50=C51,C49=C51,E50&lt;&gt;"",E49&lt;&gt;"",E50&lt;=1,E49&lt;=1),MIN(20,C51+1),C51))))</f>
        <v/>
      </c>
      <c r="I51" s="22" t="str">
        <f aca="false">IF(H51="","",IF(H51&gt;C51,"Suba para o degrau "&amp;H51&amp;" ("&amp;INDEX(Degraus!$B$5:$B$24,H51)&amp;")",IF(H51&lt;C51,"Desça para o degrau "&amp;H51&amp;" ("&amp;INDEX(Degraus!$B$5:$B$24,H51)&amp;")","Repita o degrau "&amp;C51&amp;" até 3 sessões calmas seguidas")))</f>
        <v/>
      </c>
    </row>
    <row r="52" customFormat="false" ht="15" hidden="false" customHeight="false" outlineLevel="0" collapsed="false">
      <c r="A52" s="18" t="str">
        <f aca="false">IF(B52="","",ROW()-4)</f>
        <v/>
      </c>
      <c r="B52" s="19"/>
      <c r="C52" s="20"/>
      <c r="D52" s="18" t="str">
        <f aca="false">IF(C52="","",INDEX(Degraus!$B$5:$B$24,C52))</f>
        <v/>
      </c>
      <c r="E52" s="20"/>
      <c r="F52" s="21"/>
      <c r="G52" s="18" t="str">
        <f aca="false">IF(B52="","",INT((B52-MIN($B$5:$B$304))/7)+1)</f>
        <v/>
      </c>
      <c r="H52" s="18" t="str">
        <f aca="false">IF(OR(C52="",E52=""),"",IF(E52=3,MAX(1,C52-2),IF(E52=2,MAX(1,C52-1),IF(AND(C51=C52,C50=C52,E51&lt;&gt;"",E50&lt;&gt;"",E51&lt;=1,E50&lt;=1),MIN(20,C52+1),C52))))</f>
        <v/>
      </c>
      <c r="I52" s="22" t="str">
        <f aca="false">IF(H52="","",IF(H52&gt;C52,"Suba para o degrau "&amp;H52&amp;" ("&amp;INDEX(Degraus!$B$5:$B$24,H52)&amp;")",IF(H52&lt;C52,"Desça para o degrau "&amp;H52&amp;" ("&amp;INDEX(Degraus!$B$5:$B$24,H52)&amp;")","Repita o degrau "&amp;C52&amp;" até 3 sessões calmas seguidas")))</f>
        <v/>
      </c>
    </row>
    <row r="53" customFormat="false" ht="15" hidden="false" customHeight="false" outlineLevel="0" collapsed="false">
      <c r="A53" s="18" t="str">
        <f aca="false">IF(B53="","",ROW()-4)</f>
        <v/>
      </c>
      <c r="B53" s="19"/>
      <c r="C53" s="20"/>
      <c r="D53" s="18" t="str">
        <f aca="false">IF(C53="","",INDEX(Degraus!$B$5:$B$24,C53))</f>
        <v/>
      </c>
      <c r="E53" s="20"/>
      <c r="F53" s="21"/>
      <c r="G53" s="18" t="str">
        <f aca="false">IF(B53="","",INT((B53-MIN($B$5:$B$304))/7)+1)</f>
        <v/>
      </c>
      <c r="H53" s="18" t="str">
        <f aca="false">IF(OR(C53="",E53=""),"",IF(E53=3,MAX(1,C53-2),IF(E53=2,MAX(1,C53-1),IF(AND(C52=C53,C51=C53,E52&lt;&gt;"",E51&lt;&gt;"",E52&lt;=1,E51&lt;=1),MIN(20,C53+1),C53))))</f>
        <v/>
      </c>
      <c r="I53" s="22" t="str">
        <f aca="false">IF(H53="","",IF(H53&gt;C53,"Suba para o degrau "&amp;H53&amp;" ("&amp;INDEX(Degraus!$B$5:$B$24,H53)&amp;")",IF(H53&lt;C53,"Desça para o degrau "&amp;H53&amp;" ("&amp;INDEX(Degraus!$B$5:$B$24,H53)&amp;")","Repita o degrau "&amp;C53&amp;" até 3 sessões calmas seguidas")))</f>
        <v/>
      </c>
    </row>
    <row r="54" customFormat="false" ht="15" hidden="false" customHeight="false" outlineLevel="0" collapsed="false">
      <c r="A54" s="18" t="str">
        <f aca="false">IF(B54="","",ROW()-4)</f>
        <v/>
      </c>
      <c r="B54" s="19"/>
      <c r="C54" s="20"/>
      <c r="D54" s="18" t="str">
        <f aca="false">IF(C54="","",INDEX(Degraus!$B$5:$B$24,C54))</f>
        <v/>
      </c>
      <c r="E54" s="20"/>
      <c r="F54" s="21"/>
      <c r="G54" s="18" t="str">
        <f aca="false">IF(B54="","",INT((B54-MIN($B$5:$B$304))/7)+1)</f>
        <v/>
      </c>
      <c r="H54" s="18" t="str">
        <f aca="false">IF(OR(C54="",E54=""),"",IF(E54=3,MAX(1,C54-2),IF(E54=2,MAX(1,C54-1),IF(AND(C53=C54,C52=C54,E53&lt;&gt;"",E52&lt;&gt;"",E53&lt;=1,E52&lt;=1),MIN(20,C54+1),C54))))</f>
        <v/>
      </c>
      <c r="I54" s="22" t="str">
        <f aca="false">IF(H54="","",IF(H54&gt;C54,"Suba para o degrau "&amp;H54&amp;" ("&amp;INDEX(Degraus!$B$5:$B$24,H54)&amp;")",IF(H54&lt;C54,"Desça para o degrau "&amp;H54&amp;" ("&amp;INDEX(Degraus!$B$5:$B$24,H54)&amp;")","Repita o degrau "&amp;C54&amp;" até 3 sessões calmas seguidas")))</f>
        <v/>
      </c>
    </row>
    <row r="55" customFormat="false" ht="15" hidden="false" customHeight="false" outlineLevel="0" collapsed="false">
      <c r="A55" s="18" t="str">
        <f aca="false">IF(B55="","",ROW()-4)</f>
        <v/>
      </c>
      <c r="B55" s="19"/>
      <c r="C55" s="20"/>
      <c r="D55" s="18" t="str">
        <f aca="false">IF(C55="","",INDEX(Degraus!$B$5:$B$24,C55))</f>
        <v/>
      </c>
      <c r="E55" s="20"/>
      <c r="F55" s="21"/>
      <c r="G55" s="18" t="str">
        <f aca="false">IF(B55="","",INT((B55-MIN($B$5:$B$304))/7)+1)</f>
        <v/>
      </c>
      <c r="H55" s="18" t="str">
        <f aca="false">IF(OR(C55="",E55=""),"",IF(E55=3,MAX(1,C55-2),IF(E55=2,MAX(1,C55-1),IF(AND(C54=C55,C53=C55,E54&lt;&gt;"",E53&lt;&gt;"",E54&lt;=1,E53&lt;=1),MIN(20,C55+1),C55))))</f>
        <v/>
      </c>
      <c r="I55" s="22" t="str">
        <f aca="false">IF(H55="","",IF(H55&gt;C55,"Suba para o degrau "&amp;H55&amp;" ("&amp;INDEX(Degraus!$B$5:$B$24,H55)&amp;")",IF(H55&lt;C55,"Desça para o degrau "&amp;H55&amp;" ("&amp;INDEX(Degraus!$B$5:$B$24,H55)&amp;")","Repita o degrau "&amp;C55&amp;" até 3 sessões calmas seguidas")))</f>
        <v/>
      </c>
    </row>
    <row r="56" customFormat="false" ht="15" hidden="false" customHeight="false" outlineLevel="0" collapsed="false">
      <c r="A56" s="18" t="str">
        <f aca="false">IF(B56="","",ROW()-4)</f>
        <v/>
      </c>
      <c r="B56" s="19"/>
      <c r="C56" s="20"/>
      <c r="D56" s="18" t="str">
        <f aca="false">IF(C56="","",INDEX(Degraus!$B$5:$B$24,C56))</f>
        <v/>
      </c>
      <c r="E56" s="20"/>
      <c r="F56" s="21"/>
      <c r="G56" s="18" t="str">
        <f aca="false">IF(B56="","",INT((B56-MIN($B$5:$B$304))/7)+1)</f>
        <v/>
      </c>
      <c r="H56" s="18" t="str">
        <f aca="false">IF(OR(C56="",E56=""),"",IF(E56=3,MAX(1,C56-2),IF(E56=2,MAX(1,C56-1),IF(AND(C55=C56,C54=C56,E55&lt;&gt;"",E54&lt;&gt;"",E55&lt;=1,E54&lt;=1),MIN(20,C56+1),C56))))</f>
        <v/>
      </c>
      <c r="I56" s="22" t="str">
        <f aca="false">IF(H56="","",IF(H56&gt;C56,"Suba para o degrau "&amp;H56&amp;" ("&amp;INDEX(Degraus!$B$5:$B$24,H56)&amp;")",IF(H56&lt;C56,"Desça para o degrau "&amp;H56&amp;" ("&amp;INDEX(Degraus!$B$5:$B$24,H56)&amp;")","Repita o degrau "&amp;C56&amp;" até 3 sessões calmas seguidas")))</f>
        <v/>
      </c>
    </row>
    <row r="57" customFormat="false" ht="15" hidden="false" customHeight="false" outlineLevel="0" collapsed="false">
      <c r="A57" s="18" t="str">
        <f aca="false">IF(B57="","",ROW()-4)</f>
        <v/>
      </c>
      <c r="B57" s="19"/>
      <c r="C57" s="20"/>
      <c r="D57" s="18" t="str">
        <f aca="false">IF(C57="","",INDEX(Degraus!$B$5:$B$24,C57))</f>
        <v/>
      </c>
      <c r="E57" s="20"/>
      <c r="F57" s="21"/>
      <c r="G57" s="18" t="str">
        <f aca="false">IF(B57="","",INT((B57-MIN($B$5:$B$304))/7)+1)</f>
        <v/>
      </c>
      <c r="H57" s="18" t="str">
        <f aca="false">IF(OR(C57="",E57=""),"",IF(E57=3,MAX(1,C57-2),IF(E57=2,MAX(1,C57-1),IF(AND(C56=C57,C55=C57,E56&lt;&gt;"",E55&lt;&gt;"",E56&lt;=1,E55&lt;=1),MIN(20,C57+1),C57))))</f>
        <v/>
      </c>
      <c r="I57" s="22" t="str">
        <f aca="false">IF(H57="","",IF(H57&gt;C57,"Suba para o degrau "&amp;H57&amp;" ("&amp;INDEX(Degraus!$B$5:$B$24,H57)&amp;")",IF(H57&lt;C57,"Desça para o degrau "&amp;H57&amp;" ("&amp;INDEX(Degraus!$B$5:$B$24,H57)&amp;")","Repita o degrau "&amp;C57&amp;" até 3 sessões calmas seguidas")))</f>
        <v/>
      </c>
    </row>
    <row r="58" customFormat="false" ht="15" hidden="false" customHeight="false" outlineLevel="0" collapsed="false">
      <c r="A58" s="18" t="str">
        <f aca="false">IF(B58="","",ROW()-4)</f>
        <v/>
      </c>
      <c r="B58" s="19"/>
      <c r="C58" s="20"/>
      <c r="D58" s="18" t="str">
        <f aca="false">IF(C58="","",INDEX(Degraus!$B$5:$B$24,C58))</f>
        <v/>
      </c>
      <c r="E58" s="20"/>
      <c r="F58" s="21"/>
      <c r="G58" s="18" t="str">
        <f aca="false">IF(B58="","",INT((B58-MIN($B$5:$B$304))/7)+1)</f>
        <v/>
      </c>
      <c r="H58" s="18" t="str">
        <f aca="false">IF(OR(C58="",E58=""),"",IF(E58=3,MAX(1,C58-2),IF(E58=2,MAX(1,C58-1),IF(AND(C57=C58,C56=C58,E57&lt;&gt;"",E56&lt;&gt;"",E57&lt;=1,E56&lt;=1),MIN(20,C58+1),C58))))</f>
        <v/>
      </c>
      <c r="I58" s="22" t="str">
        <f aca="false">IF(H58="","",IF(H58&gt;C58,"Suba para o degrau "&amp;H58&amp;" ("&amp;INDEX(Degraus!$B$5:$B$24,H58)&amp;")",IF(H58&lt;C58,"Desça para o degrau "&amp;H58&amp;" ("&amp;INDEX(Degraus!$B$5:$B$24,H58)&amp;")","Repita o degrau "&amp;C58&amp;" até 3 sessões calmas seguidas")))</f>
        <v/>
      </c>
    </row>
    <row r="59" customFormat="false" ht="15" hidden="false" customHeight="false" outlineLevel="0" collapsed="false">
      <c r="A59" s="18" t="str">
        <f aca="false">IF(B59="","",ROW()-4)</f>
        <v/>
      </c>
      <c r="B59" s="19"/>
      <c r="C59" s="20"/>
      <c r="D59" s="18" t="str">
        <f aca="false">IF(C59="","",INDEX(Degraus!$B$5:$B$24,C59))</f>
        <v/>
      </c>
      <c r="E59" s="20"/>
      <c r="F59" s="21"/>
      <c r="G59" s="18" t="str">
        <f aca="false">IF(B59="","",INT((B59-MIN($B$5:$B$304))/7)+1)</f>
        <v/>
      </c>
      <c r="H59" s="18" t="str">
        <f aca="false">IF(OR(C59="",E59=""),"",IF(E59=3,MAX(1,C59-2),IF(E59=2,MAX(1,C59-1),IF(AND(C58=C59,C57=C59,E58&lt;&gt;"",E57&lt;&gt;"",E58&lt;=1,E57&lt;=1),MIN(20,C59+1),C59))))</f>
        <v/>
      </c>
      <c r="I59" s="22" t="str">
        <f aca="false">IF(H59="","",IF(H59&gt;C59,"Suba para o degrau "&amp;H59&amp;" ("&amp;INDEX(Degraus!$B$5:$B$24,H59)&amp;")",IF(H59&lt;C59,"Desça para o degrau "&amp;H59&amp;" ("&amp;INDEX(Degraus!$B$5:$B$24,H59)&amp;")","Repita o degrau "&amp;C59&amp;" até 3 sessões calmas seguidas")))</f>
        <v/>
      </c>
    </row>
    <row r="60" customFormat="false" ht="15" hidden="false" customHeight="false" outlineLevel="0" collapsed="false">
      <c r="A60" s="18" t="str">
        <f aca="false">IF(B60="","",ROW()-4)</f>
        <v/>
      </c>
      <c r="B60" s="19"/>
      <c r="C60" s="20"/>
      <c r="D60" s="18" t="str">
        <f aca="false">IF(C60="","",INDEX(Degraus!$B$5:$B$24,C60))</f>
        <v/>
      </c>
      <c r="E60" s="20"/>
      <c r="F60" s="21"/>
      <c r="G60" s="18" t="str">
        <f aca="false">IF(B60="","",INT((B60-MIN($B$5:$B$304))/7)+1)</f>
        <v/>
      </c>
      <c r="H60" s="18" t="str">
        <f aca="false">IF(OR(C60="",E60=""),"",IF(E60=3,MAX(1,C60-2),IF(E60=2,MAX(1,C60-1),IF(AND(C59=C60,C58=C60,E59&lt;&gt;"",E58&lt;&gt;"",E59&lt;=1,E58&lt;=1),MIN(20,C60+1),C60))))</f>
        <v/>
      </c>
      <c r="I60" s="22" t="str">
        <f aca="false">IF(H60="","",IF(H60&gt;C60,"Suba para o degrau "&amp;H60&amp;" ("&amp;INDEX(Degraus!$B$5:$B$24,H60)&amp;")",IF(H60&lt;C60,"Desça para o degrau "&amp;H60&amp;" ("&amp;INDEX(Degraus!$B$5:$B$24,H60)&amp;")","Repita o degrau "&amp;C60&amp;" até 3 sessões calmas seguidas")))</f>
        <v/>
      </c>
    </row>
    <row r="61" customFormat="false" ht="15" hidden="false" customHeight="false" outlineLevel="0" collapsed="false">
      <c r="A61" s="18" t="str">
        <f aca="false">IF(B61="","",ROW()-4)</f>
        <v/>
      </c>
      <c r="B61" s="19"/>
      <c r="C61" s="20"/>
      <c r="D61" s="18" t="str">
        <f aca="false">IF(C61="","",INDEX(Degraus!$B$5:$B$24,C61))</f>
        <v/>
      </c>
      <c r="E61" s="20"/>
      <c r="F61" s="21"/>
      <c r="G61" s="18" t="str">
        <f aca="false">IF(B61="","",INT((B61-MIN($B$5:$B$304))/7)+1)</f>
        <v/>
      </c>
      <c r="H61" s="18" t="str">
        <f aca="false">IF(OR(C61="",E61=""),"",IF(E61=3,MAX(1,C61-2),IF(E61=2,MAX(1,C61-1),IF(AND(C60=C61,C59=C61,E60&lt;&gt;"",E59&lt;&gt;"",E60&lt;=1,E59&lt;=1),MIN(20,C61+1),C61))))</f>
        <v/>
      </c>
      <c r="I61" s="22" t="str">
        <f aca="false">IF(H61="","",IF(H61&gt;C61,"Suba para o degrau "&amp;H61&amp;" ("&amp;INDEX(Degraus!$B$5:$B$24,H61)&amp;")",IF(H61&lt;C61,"Desça para o degrau "&amp;H61&amp;" ("&amp;INDEX(Degraus!$B$5:$B$24,H61)&amp;")","Repita o degrau "&amp;C61&amp;" até 3 sessões calmas seguidas")))</f>
        <v/>
      </c>
    </row>
    <row r="62" customFormat="false" ht="15" hidden="false" customHeight="false" outlineLevel="0" collapsed="false">
      <c r="A62" s="18" t="str">
        <f aca="false">IF(B62="","",ROW()-4)</f>
        <v/>
      </c>
      <c r="B62" s="19"/>
      <c r="C62" s="20"/>
      <c r="D62" s="18" t="str">
        <f aca="false">IF(C62="","",INDEX(Degraus!$B$5:$B$24,C62))</f>
        <v/>
      </c>
      <c r="E62" s="20"/>
      <c r="F62" s="21"/>
      <c r="G62" s="18" t="str">
        <f aca="false">IF(B62="","",INT((B62-MIN($B$5:$B$304))/7)+1)</f>
        <v/>
      </c>
      <c r="H62" s="18" t="str">
        <f aca="false">IF(OR(C62="",E62=""),"",IF(E62=3,MAX(1,C62-2),IF(E62=2,MAX(1,C62-1),IF(AND(C61=C62,C60=C62,E61&lt;&gt;"",E60&lt;&gt;"",E61&lt;=1,E60&lt;=1),MIN(20,C62+1),C62))))</f>
        <v/>
      </c>
      <c r="I62" s="22" t="str">
        <f aca="false">IF(H62="","",IF(H62&gt;C62,"Suba para o degrau "&amp;H62&amp;" ("&amp;INDEX(Degraus!$B$5:$B$24,H62)&amp;")",IF(H62&lt;C62,"Desça para o degrau "&amp;H62&amp;" ("&amp;INDEX(Degraus!$B$5:$B$24,H62)&amp;")","Repita o degrau "&amp;C62&amp;" até 3 sessões calmas seguidas")))</f>
        <v/>
      </c>
    </row>
    <row r="63" customFormat="false" ht="15" hidden="false" customHeight="false" outlineLevel="0" collapsed="false">
      <c r="A63" s="18" t="str">
        <f aca="false">IF(B63="","",ROW()-4)</f>
        <v/>
      </c>
      <c r="B63" s="19"/>
      <c r="C63" s="20"/>
      <c r="D63" s="18" t="str">
        <f aca="false">IF(C63="","",INDEX(Degraus!$B$5:$B$24,C63))</f>
        <v/>
      </c>
      <c r="E63" s="20"/>
      <c r="F63" s="21"/>
      <c r="G63" s="18" t="str">
        <f aca="false">IF(B63="","",INT((B63-MIN($B$5:$B$304))/7)+1)</f>
        <v/>
      </c>
      <c r="H63" s="18" t="str">
        <f aca="false">IF(OR(C63="",E63=""),"",IF(E63=3,MAX(1,C63-2),IF(E63=2,MAX(1,C63-1),IF(AND(C62=C63,C61=C63,E62&lt;&gt;"",E61&lt;&gt;"",E62&lt;=1,E61&lt;=1),MIN(20,C63+1),C63))))</f>
        <v/>
      </c>
      <c r="I63" s="22" t="str">
        <f aca="false">IF(H63="","",IF(H63&gt;C63,"Suba para o degrau "&amp;H63&amp;" ("&amp;INDEX(Degraus!$B$5:$B$24,H63)&amp;")",IF(H63&lt;C63,"Desça para o degrau "&amp;H63&amp;" ("&amp;INDEX(Degraus!$B$5:$B$24,H63)&amp;")","Repita o degrau "&amp;C63&amp;" até 3 sessões calmas seguidas")))</f>
        <v/>
      </c>
    </row>
    <row r="64" customFormat="false" ht="15" hidden="false" customHeight="false" outlineLevel="0" collapsed="false">
      <c r="A64" s="18" t="str">
        <f aca="false">IF(B64="","",ROW()-4)</f>
        <v/>
      </c>
      <c r="B64" s="19"/>
      <c r="C64" s="20"/>
      <c r="D64" s="18" t="str">
        <f aca="false">IF(C64="","",INDEX(Degraus!$B$5:$B$24,C64))</f>
        <v/>
      </c>
      <c r="E64" s="20"/>
      <c r="F64" s="21"/>
      <c r="G64" s="18" t="str">
        <f aca="false">IF(B64="","",INT((B64-MIN($B$5:$B$304))/7)+1)</f>
        <v/>
      </c>
      <c r="H64" s="18" t="str">
        <f aca="false">IF(OR(C64="",E64=""),"",IF(E64=3,MAX(1,C64-2),IF(E64=2,MAX(1,C64-1),IF(AND(C63=C64,C62=C64,E63&lt;&gt;"",E62&lt;&gt;"",E63&lt;=1,E62&lt;=1),MIN(20,C64+1),C64))))</f>
        <v/>
      </c>
      <c r="I64" s="22" t="str">
        <f aca="false">IF(H64="","",IF(H64&gt;C64,"Suba para o degrau "&amp;H64&amp;" ("&amp;INDEX(Degraus!$B$5:$B$24,H64)&amp;")",IF(H64&lt;C64,"Desça para o degrau "&amp;H64&amp;" ("&amp;INDEX(Degraus!$B$5:$B$24,H64)&amp;")","Repita o degrau "&amp;C64&amp;" até 3 sessões calmas seguidas")))</f>
        <v/>
      </c>
    </row>
    <row r="65" customFormat="false" ht="15" hidden="false" customHeight="false" outlineLevel="0" collapsed="false">
      <c r="A65" s="18" t="str">
        <f aca="false">IF(B65="","",ROW()-4)</f>
        <v/>
      </c>
      <c r="B65" s="19"/>
      <c r="C65" s="20"/>
      <c r="D65" s="18" t="str">
        <f aca="false">IF(C65="","",INDEX(Degraus!$B$5:$B$24,C65))</f>
        <v/>
      </c>
      <c r="E65" s="20"/>
      <c r="F65" s="21"/>
      <c r="G65" s="18" t="str">
        <f aca="false">IF(B65="","",INT((B65-MIN($B$5:$B$304))/7)+1)</f>
        <v/>
      </c>
      <c r="H65" s="18" t="str">
        <f aca="false">IF(OR(C65="",E65=""),"",IF(E65=3,MAX(1,C65-2),IF(E65=2,MAX(1,C65-1),IF(AND(C64=C65,C63=C65,E64&lt;&gt;"",E63&lt;&gt;"",E64&lt;=1,E63&lt;=1),MIN(20,C65+1),C65))))</f>
        <v/>
      </c>
      <c r="I65" s="22" t="str">
        <f aca="false">IF(H65="","",IF(H65&gt;C65,"Suba para o degrau "&amp;H65&amp;" ("&amp;INDEX(Degraus!$B$5:$B$24,H65)&amp;")",IF(H65&lt;C65,"Desça para o degrau "&amp;H65&amp;" ("&amp;INDEX(Degraus!$B$5:$B$24,H65)&amp;")","Repita o degrau "&amp;C65&amp;" até 3 sessões calmas seguidas")))</f>
        <v/>
      </c>
    </row>
    <row r="66" customFormat="false" ht="15" hidden="false" customHeight="false" outlineLevel="0" collapsed="false">
      <c r="A66" s="18" t="str">
        <f aca="false">IF(B66="","",ROW()-4)</f>
        <v/>
      </c>
      <c r="B66" s="19"/>
      <c r="C66" s="20"/>
      <c r="D66" s="18" t="str">
        <f aca="false">IF(C66="","",INDEX(Degraus!$B$5:$B$24,C66))</f>
        <v/>
      </c>
      <c r="E66" s="20"/>
      <c r="F66" s="21"/>
      <c r="G66" s="18" t="str">
        <f aca="false">IF(B66="","",INT((B66-MIN($B$5:$B$304))/7)+1)</f>
        <v/>
      </c>
      <c r="H66" s="18" t="str">
        <f aca="false">IF(OR(C66="",E66=""),"",IF(E66=3,MAX(1,C66-2),IF(E66=2,MAX(1,C66-1),IF(AND(C65=C66,C64=C66,E65&lt;&gt;"",E64&lt;&gt;"",E65&lt;=1,E64&lt;=1),MIN(20,C66+1),C66))))</f>
        <v/>
      </c>
      <c r="I66" s="22" t="str">
        <f aca="false">IF(H66="","",IF(H66&gt;C66,"Suba para o degrau "&amp;H66&amp;" ("&amp;INDEX(Degraus!$B$5:$B$24,H66)&amp;")",IF(H66&lt;C66,"Desça para o degrau "&amp;H66&amp;" ("&amp;INDEX(Degraus!$B$5:$B$24,H66)&amp;")","Repita o degrau "&amp;C66&amp;" até 3 sessões calmas seguidas")))</f>
        <v/>
      </c>
    </row>
    <row r="67" customFormat="false" ht="15" hidden="false" customHeight="false" outlineLevel="0" collapsed="false">
      <c r="A67" s="18" t="str">
        <f aca="false">IF(B67="","",ROW()-4)</f>
        <v/>
      </c>
      <c r="B67" s="19"/>
      <c r="C67" s="20"/>
      <c r="D67" s="18" t="str">
        <f aca="false">IF(C67="","",INDEX(Degraus!$B$5:$B$24,C67))</f>
        <v/>
      </c>
      <c r="E67" s="20"/>
      <c r="F67" s="21"/>
      <c r="G67" s="18" t="str">
        <f aca="false">IF(B67="","",INT((B67-MIN($B$5:$B$304))/7)+1)</f>
        <v/>
      </c>
      <c r="H67" s="18" t="str">
        <f aca="false">IF(OR(C67="",E67=""),"",IF(E67=3,MAX(1,C67-2),IF(E67=2,MAX(1,C67-1),IF(AND(C66=C67,C65=C67,E66&lt;&gt;"",E65&lt;&gt;"",E66&lt;=1,E65&lt;=1),MIN(20,C67+1),C67))))</f>
        <v/>
      </c>
      <c r="I67" s="22" t="str">
        <f aca="false">IF(H67="","",IF(H67&gt;C67,"Suba para o degrau "&amp;H67&amp;" ("&amp;INDEX(Degraus!$B$5:$B$24,H67)&amp;")",IF(H67&lt;C67,"Desça para o degrau "&amp;H67&amp;" ("&amp;INDEX(Degraus!$B$5:$B$24,H67)&amp;")","Repita o degrau "&amp;C67&amp;" até 3 sessões calmas seguidas")))</f>
        <v/>
      </c>
    </row>
    <row r="68" customFormat="false" ht="15" hidden="false" customHeight="false" outlineLevel="0" collapsed="false">
      <c r="A68" s="18" t="str">
        <f aca="false">IF(B68="","",ROW()-4)</f>
        <v/>
      </c>
      <c r="B68" s="19"/>
      <c r="C68" s="20"/>
      <c r="D68" s="18" t="str">
        <f aca="false">IF(C68="","",INDEX(Degraus!$B$5:$B$24,C68))</f>
        <v/>
      </c>
      <c r="E68" s="20"/>
      <c r="F68" s="21"/>
      <c r="G68" s="18" t="str">
        <f aca="false">IF(B68="","",INT((B68-MIN($B$5:$B$304))/7)+1)</f>
        <v/>
      </c>
      <c r="H68" s="18" t="str">
        <f aca="false">IF(OR(C68="",E68=""),"",IF(E68=3,MAX(1,C68-2),IF(E68=2,MAX(1,C68-1),IF(AND(C67=C68,C66=C68,E67&lt;&gt;"",E66&lt;&gt;"",E67&lt;=1,E66&lt;=1),MIN(20,C68+1),C68))))</f>
        <v/>
      </c>
      <c r="I68" s="22" t="str">
        <f aca="false">IF(H68="","",IF(H68&gt;C68,"Suba para o degrau "&amp;H68&amp;" ("&amp;INDEX(Degraus!$B$5:$B$24,H68)&amp;")",IF(H68&lt;C68,"Desça para o degrau "&amp;H68&amp;" ("&amp;INDEX(Degraus!$B$5:$B$24,H68)&amp;")","Repita o degrau "&amp;C68&amp;" até 3 sessões calmas seguidas")))</f>
        <v/>
      </c>
    </row>
    <row r="69" customFormat="false" ht="15" hidden="false" customHeight="false" outlineLevel="0" collapsed="false">
      <c r="A69" s="18" t="str">
        <f aca="false">IF(B69="","",ROW()-4)</f>
        <v/>
      </c>
      <c r="B69" s="19"/>
      <c r="C69" s="20"/>
      <c r="D69" s="18" t="str">
        <f aca="false">IF(C69="","",INDEX(Degraus!$B$5:$B$24,C69))</f>
        <v/>
      </c>
      <c r="E69" s="20"/>
      <c r="F69" s="21"/>
      <c r="G69" s="18" t="str">
        <f aca="false">IF(B69="","",INT((B69-MIN($B$5:$B$304))/7)+1)</f>
        <v/>
      </c>
      <c r="H69" s="18" t="str">
        <f aca="false">IF(OR(C69="",E69=""),"",IF(E69=3,MAX(1,C69-2),IF(E69=2,MAX(1,C69-1),IF(AND(C68=C69,C67=C69,E68&lt;&gt;"",E67&lt;&gt;"",E68&lt;=1,E67&lt;=1),MIN(20,C69+1),C69))))</f>
        <v/>
      </c>
      <c r="I69" s="22" t="str">
        <f aca="false">IF(H69="","",IF(H69&gt;C69,"Suba para o degrau "&amp;H69&amp;" ("&amp;INDEX(Degraus!$B$5:$B$24,H69)&amp;")",IF(H69&lt;C69,"Desça para o degrau "&amp;H69&amp;" ("&amp;INDEX(Degraus!$B$5:$B$24,H69)&amp;")","Repita o degrau "&amp;C69&amp;" até 3 sessões calmas seguidas")))</f>
        <v/>
      </c>
    </row>
    <row r="70" customFormat="false" ht="15" hidden="false" customHeight="false" outlineLevel="0" collapsed="false">
      <c r="A70" s="18" t="str">
        <f aca="false">IF(B70="","",ROW()-4)</f>
        <v/>
      </c>
      <c r="B70" s="19"/>
      <c r="C70" s="20"/>
      <c r="D70" s="18" t="str">
        <f aca="false">IF(C70="","",INDEX(Degraus!$B$5:$B$24,C70))</f>
        <v/>
      </c>
      <c r="E70" s="20"/>
      <c r="F70" s="21"/>
      <c r="G70" s="18" t="str">
        <f aca="false">IF(B70="","",INT((B70-MIN($B$5:$B$304))/7)+1)</f>
        <v/>
      </c>
      <c r="H70" s="18" t="str">
        <f aca="false">IF(OR(C70="",E70=""),"",IF(E70=3,MAX(1,C70-2),IF(E70=2,MAX(1,C70-1),IF(AND(C69=C70,C68=C70,E69&lt;&gt;"",E68&lt;&gt;"",E69&lt;=1,E68&lt;=1),MIN(20,C70+1),C70))))</f>
        <v/>
      </c>
      <c r="I70" s="22" t="str">
        <f aca="false">IF(H70="","",IF(H70&gt;C70,"Suba para o degrau "&amp;H70&amp;" ("&amp;INDEX(Degraus!$B$5:$B$24,H70)&amp;")",IF(H70&lt;C70,"Desça para o degrau "&amp;H70&amp;" ("&amp;INDEX(Degraus!$B$5:$B$24,H70)&amp;")","Repita o degrau "&amp;C70&amp;" até 3 sessões calmas seguidas")))</f>
        <v/>
      </c>
    </row>
    <row r="71" customFormat="false" ht="15" hidden="false" customHeight="false" outlineLevel="0" collapsed="false">
      <c r="A71" s="18" t="str">
        <f aca="false">IF(B71="","",ROW()-4)</f>
        <v/>
      </c>
      <c r="B71" s="19"/>
      <c r="C71" s="20"/>
      <c r="D71" s="18" t="str">
        <f aca="false">IF(C71="","",INDEX(Degraus!$B$5:$B$24,C71))</f>
        <v/>
      </c>
      <c r="E71" s="20"/>
      <c r="F71" s="21"/>
      <c r="G71" s="18" t="str">
        <f aca="false">IF(B71="","",INT((B71-MIN($B$5:$B$304))/7)+1)</f>
        <v/>
      </c>
      <c r="H71" s="18" t="str">
        <f aca="false">IF(OR(C71="",E71=""),"",IF(E71=3,MAX(1,C71-2),IF(E71=2,MAX(1,C71-1),IF(AND(C70=C71,C69=C71,E70&lt;&gt;"",E69&lt;&gt;"",E70&lt;=1,E69&lt;=1),MIN(20,C71+1),C71))))</f>
        <v/>
      </c>
      <c r="I71" s="22" t="str">
        <f aca="false">IF(H71="","",IF(H71&gt;C71,"Suba para o degrau "&amp;H71&amp;" ("&amp;INDEX(Degraus!$B$5:$B$24,H71)&amp;")",IF(H71&lt;C71,"Desça para o degrau "&amp;H71&amp;" ("&amp;INDEX(Degraus!$B$5:$B$24,H71)&amp;")","Repita o degrau "&amp;C71&amp;" até 3 sessões calmas seguidas")))</f>
        <v/>
      </c>
    </row>
    <row r="72" customFormat="false" ht="15" hidden="false" customHeight="false" outlineLevel="0" collapsed="false">
      <c r="A72" s="18" t="str">
        <f aca="false">IF(B72="","",ROW()-4)</f>
        <v/>
      </c>
      <c r="B72" s="19"/>
      <c r="C72" s="20"/>
      <c r="D72" s="18" t="str">
        <f aca="false">IF(C72="","",INDEX(Degraus!$B$5:$B$24,C72))</f>
        <v/>
      </c>
      <c r="E72" s="20"/>
      <c r="F72" s="21"/>
      <c r="G72" s="18" t="str">
        <f aca="false">IF(B72="","",INT((B72-MIN($B$5:$B$304))/7)+1)</f>
        <v/>
      </c>
      <c r="H72" s="18" t="str">
        <f aca="false">IF(OR(C72="",E72=""),"",IF(E72=3,MAX(1,C72-2),IF(E72=2,MAX(1,C72-1),IF(AND(C71=C72,C70=C72,E71&lt;&gt;"",E70&lt;&gt;"",E71&lt;=1,E70&lt;=1),MIN(20,C72+1),C72))))</f>
        <v/>
      </c>
      <c r="I72" s="22" t="str">
        <f aca="false">IF(H72="","",IF(H72&gt;C72,"Suba para o degrau "&amp;H72&amp;" ("&amp;INDEX(Degraus!$B$5:$B$24,H72)&amp;")",IF(H72&lt;C72,"Desça para o degrau "&amp;H72&amp;" ("&amp;INDEX(Degraus!$B$5:$B$24,H72)&amp;")","Repita o degrau "&amp;C72&amp;" até 3 sessões calmas seguidas")))</f>
        <v/>
      </c>
    </row>
    <row r="73" customFormat="false" ht="15" hidden="false" customHeight="false" outlineLevel="0" collapsed="false">
      <c r="A73" s="18" t="str">
        <f aca="false">IF(B73="","",ROW()-4)</f>
        <v/>
      </c>
      <c r="B73" s="19"/>
      <c r="C73" s="20"/>
      <c r="D73" s="18" t="str">
        <f aca="false">IF(C73="","",INDEX(Degraus!$B$5:$B$24,C73))</f>
        <v/>
      </c>
      <c r="E73" s="20"/>
      <c r="F73" s="21"/>
      <c r="G73" s="18" t="str">
        <f aca="false">IF(B73="","",INT((B73-MIN($B$5:$B$304))/7)+1)</f>
        <v/>
      </c>
      <c r="H73" s="18" t="str">
        <f aca="false">IF(OR(C73="",E73=""),"",IF(E73=3,MAX(1,C73-2),IF(E73=2,MAX(1,C73-1),IF(AND(C72=C73,C71=C73,E72&lt;&gt;"",E71&lt;&gt;"",E72&lt;=1,E71&lt;=1),MIN(20,C73+1),C73))))</f>
        <v/>
      </c>
      <c r="I73" s="22" t="str">
        <f aca="false">IF(H73="","",IF(H73&gt;C73,"Suba para o degrau "&amp;H73&amp;" ("&amp;INDEX(Degraus!$B$5:$B$24,H73)&amp;")",IF(H73&lt;C73,"Desça para o degrau "&amp;H73&amp;" ("&amp;INDEX(Degraus!$B$5:$B$24,H73)&amp;")","Repita o degrau "&amp;C73&amp;" até 3 sessões calmas seguidas")))</f>
        <v/>
      </c>
    </row>
    <row r="74" customFormat="false" ht="15" hidden="false" customHeight="false" outlineLevel="0" collapsed="false">
      <c r="A74" s="18" t="str">
        <f aca="false">IF(B74="","",ROW()-4)</f>
        <v/>
      </c>
      <c r="B74" s="19"/>
      <c r="C74" s="20"/>
      <c r="D74" s="18" t="str">
        <f aca="false">IF(C74="","",INDEX(Degraus!$B$5:$B$24,C74))</f>
        <v/>
      </c>
      <c r="E74" s="20"/>
      <c r="F74" s="21"/>
      <c r="G74" s="18" t="str">
        <f aca="false">IF(B74="","",INT((B74-MIN($B$5:$B$304))/7)+1)</f>
        <v/>
      </c>
      <c r="H74" s="18" t="str">
        <f aca="false">IF(OR(C74="",E74=""),"",IF(E74=3,MAX(1,C74-2),IF(E74=2,MAX(1,C74-1),IF(AND(C73=C74,C72=C74,E73&lt;&gt;"",E72&lt;&gt;"",E73&lt;=1,E72&lt;=1),MIN(20,C74+1),C74))))</f>
        <v/>
      </c>
      <c r="I74" s="22" t="str">
        <f aca="false">IF(H74="","",IF(H74&gt;C74,"Suba para o degrau "&amp;H74&amp;" ("&amp;INDEX(Degraus!$B$5:$B$24,H74)&amp;")",IF(H74&lt;C74,"Desça para o degrau "&amp;H74&amp;" ("&amp;INDEX(Degraus!$B$5:$B$24,H74)&amp;")","Repita o degrau "&amp;C74&amp;" até 3 sessões calmas seguidas")))</f>
        <v/>
      </c>
    </row>
    <row r="75" customFormat="false" ht="15" hidden="false" customHeight="false" outlineLevel="0" collapsed="false">
      <c r="A75" s="18" t="str">
        <f aca="false">IF(B75="","",ROW()-4)</f>
        <v/>
      </c>
      <c r="B75" s="19"/>
      <c r="C75" s="20"/>
      <c r="D75" s="18" t="str">
        <f aca="false">IF(C75="","",INDEX(Degraus!$B$5:$B$24,C75))</f>
        <v/>
      </c>
      <c r="E75" s="20"/>
      <c r="F75" s="21"/>
      <c r="G75" s="18" t="str">
        <f aca="false">IF(B75="","",INT((B75-MIN($B$5:$B$304))/7)+1)</f>
        <v/>
      </c>
      <c r="H75" s="18" t="str">
        <f aca="false">IF(OR(C75="",E75=""),"",IF(E75=3,MAX(1,C75-2),IF(E75=2,MAX(1,C75-1),IF(AND(C74=C75,C73=C75,E74&lt;&gt;"",E73&lt;&gt;"",E74&lt;=1,E73&lt;=1),MIN(20,C75+1),C75))))</f>
        <v/>
      </c>
      <c r="I75" s="22" t="str">
        <f aca="false">IF(H75="","",IF(H75&gt;C75,"Suba para o degrau "&amp;H75&amp;" ("&amp;INDEX(Degraus!$B$5:$B$24,H75)&amp;")",IF(H75&lt;C75,"Desça para o degrau "&amp;H75&amp;" ("&amp;INDEX(Degraus!$B$5:$B$24,H75)&amp;")","Repita o degrau "&amp;C75&amp;" até 3 sessões calmas seguidas")))</f>
        <v/>
      </c>
    </row>
    <row r="76" customFormat="false" ht="15" hidden="false" customHeight="false" outlineLevel="0" collapsed="false">
      <c r="A76" s="18" t="str">
        <f aca="false">IF(B76="","",ROW()-4)</f>
        <v/>
      </c>
      <c r="B76" s="19"/>
      <c r="C76" s="20"/>
      <c r="D76" s="18" t="str">
        <f aca="false">IF(C76="","",INDEX(Degraus!$B$5:$B$24,C76))</f>
        <v/>
      </c>
      <c r="E76" s="20"/>
      <c r="F76" s="21"/>
      <c r="G76" s="18" t="str">
        <f aca="false">IF(B76="","",INT((B76-MIN($B$5:$B$304))/7)+1)</f>
        <v/>
      </c>
      <c r="H76" s="18" t="str">
        <f aca="false">IF(OR(C76="",E76=""),"",IF(E76=3,MAX(1,C76-2),IF(E76=2,MAX(1,C76-1),IF(AND(C75=C76,C74=C76,E75&lt;&gt;"",E74&lt;&gt;"",E75&lt;=1,E74&lt;=1),MIN(20,C76+1),C76))))</f>
        <v/>
      </c>
      <c r="I76" s="22" t="str">
        <f aca="false">IF(H76="","",IF(H76&gt;C76,"Suba para o degrau "&amp;H76&amp;" ("&amp;INDEX(Degraus!$B$5:$B$24,H76)&amp;")",IF(H76&lt;C76,"Desça para o degrau "&amp;H76&amp;" ("&amp;INDEX(Degraus!$B$5:$B$24,H76)&amp;")","Repita o degrau "&amp;C76&amp;" até 3 sessões calmas seguidas")))</f>
        <v/>
      </c>
    </row>
    <row r="77" customFormat="false" ht="15" hidden="false" customHeight="false" outlineLevel="0" collapsed="false">
      <c r="A77" s="18" t="str">
        <f aca="false">IF(B77="","",ROW()-4)</f>
        <v/>
      </c>
      <c r="B77" s="19"/>
      <c r="C77" s="20"/>
      <c r="D77" s="18" t="str">
        <f aca="false">IF(C77="","",INDEX(Degraus!$B$5:$B$24,C77))</f>
        <v/>
      </c>
      <c r="E77" s="20"/>
      <c r="F77" s="21"/>
      <c r="G77" s="18" t="str">
        <f aca="false">IF(B77="","",INT((B77-MIN($B$5:$B$304))/7)+1)</f>
        <v/>
      </c>
      <c r="H77" s="18" t="str">
        <f aca="false">IF(OR(C77="",E77=""),"",IF(E77=3,MAX(1,C77-2),IF(E77=2,MAX(1,C77-1),IF(AND(C76=C77,C75=C77,E76&lt;&gt;"",E75&lt;&gt;"",E76&lt;=1,E75&lt;=1),MIN(20,C77+1),C77))))</f>
        <v/>
      </c>
      <c r="I77" s="22" t="str">
        <f aca="false">IF(H77="","",IF(H77&gt;C77,"Suba para o degrau "&amp;H77&amp;" ("&amp;INDEX(Degraus!$B$5:$B$24,H77)&amp;")",IF(H77&lt;C77,"Desça para o degrau "&amp;H77&amp;" ("&amp;INDEX(Degraus!$B$5:$B$24,H77)&amp;")","Repita o degrau "&amp;C77&amp;" até 3 sessões calmas seguidas")))</f>
        <v/>
      </c>
    </row>
    <row r="78" customFormat="false" ht="15" hidden="false" customHeight="false" outlineLevel="0" collapsed="false">
      <c r="A78" s="18" t="str">
        <f aca="false">IF(B78="","",ROW()-4)</f>
        <v/>
      </c>
      <c r="B78" s="19"/>
      <c r="C78" s="20"/>
      <c r="D78" s="18" t="str">
        <f aca="false">IF(C78="","",INDEX(Degraus!$B$5:$B$24,C78))</f>
        <v/>
      </c>
      <c r="E78" s="20"/>
      <c r="F78" s="21"/>
      <c r="G78" s="18" t="str">
        <f aca="false">IF(B78="","",INT((B78-MIN($B$5:$B$304))/7)+1)</f>
        <v/>
      </c>
      <c r="H78" s="18" t="str">
        <f aca="false">IF(OR(C78="",E78=""),"",IF(E78=3,MAX(1,C78-2),IF(E78=2,MAX(1,C78-1),IF(AND(C77=C78,C76=C78,E77&lt;&gt;"",E76&lt;&gt;"",E77&lt;=1,E76&lt;=1),MIN(20,C78+1),C78))))</f>
        <v/>
      </c>
      <c r="I78" s="22" t="str">
        <f aca="false">IF(H78="","",IF(H78&gt;C78,"Suba para o degrau "&amp;H78&amp;" ("&amp;INDEX(Degraus!$B$5:$B$24,H78)&amp;")",IF(H78&lt;C78,"Desça para o degrau "&amp;H78&amp;" ("&amp;INDEX(Degraus!$B$5:$B$24,H78)&amp;")","Repita o degrau "&amp;C78&amp;" até 3 sessões calmas seguidas")))</f>
        <v/>
      </c>
    </row>
    <row r="79" customFormat="false" ht="15" hidden="false" customHeight="false" outlineLevel="0" collapsed="false">
      <c r="A79" s="18" t="str">
        <f aca="false">IF(B79="","",ROW()-4)</f>
        <v/>
      </c>
      <c r="B79" s="19"/>
      <c r="C79" s="20"/>
      <c r="D79" s="18" t="str">
        <f aca="false">IF(C79="","",INDEX(Degraus!$B$5:$B$24,C79))</f>
        <v/>
      </c>
      <c r="E79" s="20"/>
      <c r="F79" s="21"/>
      <c r="G79" s="18" t="str">
        <f aca="false">IF(B79="","",INT((B79-MIN($B$5:$B$304))/7)+1)</f>
        <v/>
      </c>
      <c r="H79" s="18" t="str">
        <f aca="false">IF(OR(C79="",E79=""),"",IF(E79=3,MAX(1,C79-2),IF(E79=2,MAX(1,C79-1),IF(AND(C78=C79,C77=C79,E78&lt;&gt;"",E77&lt;&gt;"",E78&lt;=1,E77&lt;=1),MIN(20,C79+1),C79))))</f>
        <v/>
      </c>
      <c r="I79" s="22" t="str">
        <f aca="false">IF(H79="","",IF(H79&gt;C79,"Suba para o degrau "&amp;H79&amp;" ("&amp;INDEX(Degraus!$B$5:$B$24,H79)&amp;")",IF(H79&lt;C79,"Desça para o degrau "&amp;H79&amp;" ("&amp;INDEX(Degraus!$B$5:$B$24,H79)&amp;")","Repita o degrau "&amp;C79&amp;" até 3 sessões calmas seguidas")))</f>
        <v/>
      </c>
    </row>
    <row r="80" customFormat="false" ht="15" hidden="false" customHeight="false" outlineLevel="0" collapsed="false">
      <c r="A80" s="18" t="str">
        <f aca="false">IF(B80="","",ROW()-4)</f>
        <v/>
      </c>
      <c r="B80" s="19"/>
      <c r="C80" s="20"/>
      <c r="D80" s="18" t="str">
        <f aca="false">IF(C80="","",INDEX(Degraus!$B$5:$B$24,C80))</f>
        <v/>
      </c>
      <c r="E80" s="20"/>
      <c r="F80" s="21"/>
      <c r="G80" s="18" t="str">
        <f aca="false">IF(B80="","",INT((B80-MIN($B$5:$B$304))/7)+1)</f>
        <v/>
      </c>
      <c r="H80" s="18" t="str">
        <f aca="false">IF(OR(C80="",E80=""),"",IF(E80=3,MAX(1,C80-2),IF(E80=2,MAX(1,C80-1),IF(AND(C79=C80,C78=C80,E79&lt;&gt;"",E78&lt;&gt;"",E79&lt;=1,E78&lt;=1),MIN(20,C80+1),C80))))</f>
        <v/>
      </c>
      <c r="I80" s="22" t="str">
        <f aca="false">IF(H80="","",IF(H80&gt;C80,"Suba para o degrau "&amp;H80&amp;" ("&amp;INDEX(Degraus!$B$5:$B$24,H80)&amp;")",IF(H80&lt;C80,"Desça para o degrau "&amp;H80&amp;" ("&amp;INDEX(Degraus!$B$5:$B$24,H80)&amp;")","Repita o degrau "&amp;C80&amp;" até 3 sessões calmas seguidas")))</f>
        <v/>
      </c>
    </row>
    <row r="81" customFormat="false" ht="15" hidden="false" customHeight="false" outlineLevel="0" collapsed="false">
      <c r="A81" s="18" t="str">
        <f aca="false">IF(B81="","",ROW()-4)</f>
        <v/>
      </c>
      <c r="B81" s="19"/>
      <c r="C81" s="20"/>
      <c r="D81" s="18" t="str">
        <f aca="false">IF(C81="","",INDEX(Degraus!$B$5:$B$24,C81))</f>
        <v/>
      </c>
      <c r="E81" s="20"/>
      <c r="F81" s="21"/>
      <c r="G81" s="18" t="str">
        <f aca="false">IF(B81="","",INT((B81-MIN($B$5:$B$304))/7)+1)</f>
        <v/>
      </c>
      <c r="H81" s="18" t="str">
        <f aca="false">IF(OR(C81="",E81=""),"",IF(E81=3,MAX(1,C81-2),IF(E81=2,MAX(1,C81-1),IF(AND(C80=C81,C79=C81,E80&lt;&gt;"",E79&lt;&gt;"",E80&lt;=1,E79&lt;=1),MIN(20,C81+1),C81))))</f>
        <v/>
      </c>
      <c r="I81" s="22" t="str">
        <f aca="false">IF(H81="","",IF(H81&gt;C81,"Suba para o degrau "&amp;H81&amp;" ("&amp;INDEX(Degraus!$B$5:$B$24,H81)&amp;")",IF(H81&lt;C81,"Desça para o degrau "&amp;H81&amp;" ("&amp;INDEX(Degraus!$B$5:$B$24,H81)&amp;")","Repita o degrau "&amp;C81&amp;" até 3 sessões calmas seguidas")))</f>
        <v/>
      </c>
    </row>
    <row r="82" customFormat="false" ht="15" hidden="false" customHeight="false" outlineLevel="0" collapsed="false">
      <c r="A82" s="18" t="str">
        <f aca="false">IF(B82="","",ROW()-4)</f>
        <v/>
      </c>
      <c r="B82" s="19"/>
      <c r="C82" s="20"/>
      <c r="D82" s="18" t="str">
        <f aca="false">IF(C82="","",INDEX(Degraus!$B$5:$B$24,C82))</f>
        <v/>
      </c>
      <c r="E82" s="20"/>
      <c r="F82" s="21"/>
      <c r="G82" s="18" t="str">
        <f aca="false">IF(B82="","",INT((B82-MIN($B$5:$B$304))/7)+1)</f>
        <v/>
      </c>
      <c r="H82" s="18" t="str">
        <f aca="false">IF(OR(C82="",E82=""),"",IF(E82=3,MAX(1,C82-2),IF(E82=2,MAX(1,C82-1),IF(AND(C81=C82,C80=C82,E81&lt;&gt;"",E80&lt;&gt;"",E81&lt;=1,E80&lt;=1),MIN(20,C82+1),C82))))</f>
        <v/>
      </c>
      <c r="I82" s="22" t="str">
        <f aca="false">IF(H82="","",IF(H82&gt;C82,"Suba para o degrau "&amp;H82&amp;" ("&amp;INDEX(Degraus!$B$5:$B$24,H82)&amp;")",IF(H82&lt;C82,"Desça para o degrau "&amp;H82&amp;" ("&amp;INDEX(Degraus!$B$5:$B$24,H82)&amp;")","Repita o degrau "&amp;C82&amp;" até 3 sessões calmas seguidas")))</f>
        <v/>
      </c>
    </row>
    <row r="83" customFormat="false" ht="15" hidden="false" customHeight="false" outlineLevel="0" collapsed="false">
      <c r="A83" s="18" t="str">
        <f aca="false">IF(B83="","",ROW()-4)</f>
        <v/>
      </c>
      <c r="B83" s="19"/>
      <c r="C83" s="20"/>
      <c r="D83" s="18" t="str">
        <f aca="false">IF(C83="","",INDEX(Degraus!$B$5:$B$24,C83))</f>
        <v/>
      </c>
      <c r="E83" s="20"/>
      <c r="F83" s="21"/>
      <c r="G83" s="18" t="str">
        <f aca="false">IF(B83="","",INT((B83-MIN($B$5:$B$304))/7)+1)</f>
        <v/>
      </c>
      <c r="H83" s="18" t="str">
        <f aca="false">IF(OR(C83="",E83=""),"",IF(E83=3,MAX(1,C83-2),IF(E83=2,MAX(1,C83-1),IF(AND(C82=C83,C81=C83,E82&lt;&gt;"",E81&lt;&gt;"",E82&lt;=1,E81&lt;=1),MIN(20,C83+1),C83))))</f>
        <v/>
      </c>
      <c r="I83" s="22" t="str">
        <f aca="false">IF(H83="","",IF(H83&gt;C83,"Suba para o degrau "&amp;H83&amp;" ("&amp;INDEX(Degraus!$B$5:$B$24,H83)&amp;")",IF(H83&lt;C83,"Desça para o degrau "&amp;H83&amp;" ("&amp;INDEX(Degraus!$B$5:$B$24,H83)&amp;")","Repita o degrau "&amp;C83&amp;" até 3 sessões calmas seguidas")))</f>
        <v/>
      </c>
    </row>
    <row r="84" customFormat="false" ht="15" hidden="false" customHeight="false" outlineLevel="0" collapsed="false">
      <c r="A84" s="18" t="str">
        <f aca="false">IF(B84="","",ROW()-4)</f>
        <v/>
      </c>
      <c r="B84" s="19"/>
      <c r="C84" s="20"/>
      <c r="D84" s="18" t="str">
        <f aca="false">IF(C84="","",INDEX(Degraus!$B$5:$B$24,C84))</f>
        <v/>
      </c>
      <c r="E84" s="20"/>
      <c r="F84" s="21"/>
      <c r="G84" s="18" t="str">
        <f aca="false">IF(B84="","",INT((B84-MIN($B$5:$B$304))/7)+1)</f>
        <v/>
      </c>
      <c r="H84" s="18" t="str">
        <f aca="false">IF(OR(C84="",E84=""),"",IF(E84=3,MAX(1,C84-2),IF(E84=2,MAX(1,C84-1),IF(AND(C83=C84,C82=C84,E83&lt;&gt;"",E82&lt;&gt;"",E83&lt;=1,E82&lt;=1),MIN(20,C84+1),C84))))</f>
        <v/>
      </c>
      <c r="I84" s="22" t="str">
        <f aca="false">IF(H84="","",IF(H84&gt;C84,"Suba para o degrau "&amp;H84&amp;" ("&amp;INDEX(Degraus!$B$5:$B$24,H84)&amp;")",IF(H84&lt;C84,"Desça para o degrau "&amp;H84&amp;" ("&amp;INDEX(Degraus!$B$5:$B$24,H84)&amp;")","Repita o degrau "&amp;C84&amp;" até 3 sessões calmas seguidas")))</f>
        <v/>
      </c>
    </row>
    <row r="85" customFormat="false" ht="15" hidden="false" customHeight="false" outlineLevel="0" collapsed="false">
      <c r="A85" s="18" t="str">
        <f aca="false">IF(B85="","",ROW()-4)</f>
        <v/>
      </c>
      <c r="B85" s="19"/>
      <c r="C85" s="20"/>
      <c r="D85" s="18" t="str">
        <f aca="false">IF(C85="","",INDEX(Degraus!$B$5:$B$24,C85))</f>
        <v/>
      </c>
      <c r="E85" s="20"/>
      <c r="F85" s="21"/>
      <c r="G85" s="18" t="str">
        <f aca="false">IF(B85="","",INT((B85-MIN($B$5:$B$304))/7)+1)</f>
        <v/>
      </c>
      <c r="H85" s="18" t="str">
        <f aca="false">IF(OR(C85="",E85=""),"",IF(E85=3,MAX(1,C85-2),IF(E85=2,MAX(1,C85-1),IF(AND(C84=C85,C83=C85,E84&lt;&gt;"",E83&lt;&gt;"",E84&lt;=1,E83&lt;=1),MIN(20,C85+1),C85))))</f>
        <v/>
      </c>
      <c r="I85" s="22" t="str">
        <f aca="false">IF(H85="","",IF(H85&gt;C85,"Suba para o degrau "&amp;H85&amp;" ("&amp;INDEX(Degraus!$B$5:$B$24,H85)&amp;")",IF(H85&lt;C85,"Desça para o degrau "&amp;H85&amp;" ("&amp;INDEX(Degraus!$B$5:$B$24,H85)&amp;")","Repita o degrau "&amp;C85&amp;" até 3 sessões calmas seguidas")))</f>
        <v/>
      </c>
    </row>
    <row r="86" customFormat="false" ht="15" hidden="false" customHeight="false" outlineLevel="0" collapsed="false">
      <c r="A86" s="18" t="str">
        <f aca="false">IF(B86="","",ROW()-4)</f>
        <v/>
      </c>
      <c r="B86" s="19"/>
      <c r="C86" s="20"/>
      <c r="D86" s="18" t="str">
        <f aca="false">IF(C86="","",INDEX(Degraus!$B$5:$B$24,C86))</f>
        <v/>
      </c>
      <c r="E86" s="20"/>
      <c r="F86" s="21"/>
      <c r="G86" s="18" t="str">
        <f aca="false">IF(B86="","",INT((B86-MIN($B$5:$B$304))/7)+1)</f>
        <v/>
      </c>
      <c r="H86" s="18" t="str">
        <f aca="false">IF(OR(C86="",E86=""),"",IF(E86=3,MAX(1,C86-2),IF(E86=2,MAX(1,C86-1),IF(AND(C85=C86,C84=C86,E85&lt;&gt;"",E84&lt;&gt;"",E85&lt;=1,E84&lt;=1),MIN(20,C86+1),C86))))</f>
        <v/>
      </c>
      <c r="I86" s="22" t="str">
        <f aca="false">IF(H86="","",IF(H86&gt;C86,"Suba para o degrau "&amp;H86&amp;" ("&amp;INDEX(Degraus!$B$5:$B$24,H86)&amp;")",IF(H86&lt;C86,"Desça para o degrau "&amp;H86&amp;" ("&amp;INDEX(Degraus!$B$5:$B$24,H86)&amp;")","Repita o degrau "&amp;C86&amp;" até 3 sessões calmas seguidas")))</f>
        <v/>
      </c>
    </row>
    <row r="87" customFormat="false" ht="15" hidden="false" customHeight="false" outlineLevel="0" collapsed="false">
      <c r="A87" s="18" t="str">
        <f aca="false">IF(B87="","",ROW()-4)</f>
        <v/>
      </c>
      <c r="B87" s="19"/>
      <c r="C87" s="20"/>
      <c r="D87" s="18" t="str">
        <f aca="false">IF(C87="","",INDEX(Degraus!$B$5:$B$24,C87))</f>
        <v/>
      </c>
      <c r="E87" s="20"/>
      <c r="F87" s="21"/>
      <c r="G87" s="18" t="str">
        <f aca="false">IF(B87="","",INT((B87-MIN($B$5:$B$304))/7)+1)</f>
        <v/>
      </c>
      <c r="H87" s="18" t="str">
        <f aca="false">IF(OR(C87="",E87=""),"",IF(E87=3,MAX(1,C87-2),IF(E87=2,MAX(1,C87-1),IF(AND(C86=C87,C85=C87,E86&lt;&gt;"",E85&lt;&gt;"",E86&lt;=1,E85&lt;=1),MIN(20,C87+1),C87))))</f>
        <v/>
      </c>
      <c r="I87" s="22" t="str">
        <f aca="false">IF(H87="","",IF(H87&gt;C87,"Suba para o degrau "&amp;H87&amp;" ("&amp;INDEX(Degraus!$B$5:$B$24,H87)&amp;")",IF(H87&lt;C87,"Desça para o degrau "&amp;H87&amp;" ("&amp;INDEX(Degraus!$B$5:$B$24,H87)&amp;")","Repita o degrau "&amp;C87&amp;" até 3 sessões calmas seguidas")))</f>
        <v/>
      </c>
    </row>
    <row r="88" customFormat="false" ht="15" hidden="false" customHeight="false" outlineLevel="0" collapsed="false">
      <c r="A88" s="18" t="str">
        <f aca="false">IF(B88="","",ROW()-4)</f>
        <v/>
      </c>
      <c r="B88" s="19"/>
      <c r="C88" s="20"/>
      <c r="D88" s="18" t="str">
        <f aca="false">IF(C88="","",INDEX(Degraus!$B$5:$B$24,C88))</f>
        <v/>
      </c>
      <c r="E88" s="20"/>
      <c r="F88" s="21"/>
      <c r="G88" s="18" t="str">
        <f aca="false">IF(B88="","",INT((B88-MIN($B$5:$B$304))/7)+1)</f>
        <v/>
      </c>
      <c r="H88" s="18" t="str">
        <f aca="false">IF(OR(C88="",E88=""),"",IF(E88=3,MAX(1,C88-2),IF(E88=2,MAX(1,C88-1),IF(AND(C87=C88,C86=C88,E87&lt;&gt;"",E86&lt;&gt;"",E87&lt;=1,E86&lt;=1),MIN(20,C88+1),C88))))</f>
        <v/>
      </c>
      <c r="I88" s="22" t="str">
        <f aca="false">IF(H88="","",IF(H88&gt;C88,"Suba para o degrau "&amp;H88&amp;" ("&amp;INDEX(Degraus!$B$5:$B$24,H88)&amp;")",IF(H88&lt;C88,"Desça para o degrau "&amp;H88&amp;" ("&amp;INDEX(Degraus!$B$5:$B$24,H88)&amp;")","Repita o degrau "&amp;C88&amp;" até 3 sessões calmas seguidas")))</f>
        <v/>
      </c>
    </row>
    <row r="89" customFormat="false" ht="15" hidden="false" customHeight="false" outlineLevel="0" collapsed="false">
      <c r="A89" s="18" t="str">
        <f aca="false">IF(B89="","",ROW()-4)</f>
        <v/>
      </c>
      <c r="B89" s="19"/>
      <c r="C89" s="20"/>
      <c r="D89" s="18" t="str">
        <f aca="false">IF(C89="","",INDEX(Degraus!$B$5:$B$24,C89))</f>
        <v/>
      </c>
      <c r="E89" s="20"/>
      <c r="F89" s="21"/>
      <c r="G89" s="18" t="str">
        <f aca="false">IF(B89="","",INT((B89-MIN($B$5:$B$304))/7)+1)</f>
        <v/>
      </c>
      <c r="H89" s="18" t="str">
        <f aca="false">IF(OR(C89="",E89=""),"",IF(E89=3,MAX(1,C89-2),IF(E89=2,MAX(1,C89-1),IF(AND(C88=C89,C87=C89,E88&lt;&gt;"",E87&lt;&gt;"",E88&lt;=1,E87&lt;=1),MIN(20,C89+1),C89))))</f>
        <v/>
      </c>
      <c r="I89" s="22" t="str">
        <f aca="false">IF(H89="","",IF(H89&gt;C89,"Suba para o degrau "&amp;H89&amp;" ("&amp;INDEX(Degraus!$B$5:$B$24,H89)&amp;")",IF(H89&lt;C89,"Desça para o degrau "&amp;H89&amp;" ("&amp;INDEX(Degraus!$B$5:$B$24,H89)&amp;")","Repita o degrau "&amp;C89&amp;" até 3 sessões calmas seguidas")))</f>
        <v/>
      </c>
    </row>
    <row r="90" customFormat="false" ht="15" hidden="false" customHeight="false" outlineLevel="0" collapsed="false">
      <c r="A90" s="18" t="str">
        <f aca="false">IF(B90="","",ROW()-4)</f>
        <v/>
      </c>
      <c r="B90" s="19"/>
      <c r="C90" s="20"/>
      <c r="D90" s="18" t="str">
        <f aca="false">IF(C90="","",INDEX(Degraus!$B$5:$B$24,C90))</f>
        <v/>
      </c>
      <c r="E90" s="20"/>
      <c r="F90" s="21"/>
      <c r="G90" s="18" t="str">
        <f aca="false">IF(B90="","",INT((B90-MIN($B$5:$B$304))/7)+1)</f>
        <v/>
      </c>
      <c r="H90" s="18" t="str">
        <f aca="false">IF(OR(C90="",E90=""),"",IF(E90=3,MAX(1,C90-2),IF(E90=2,MAX(1,C90-1),IF(AND(C89=C90,C88=C90,E89&lt;&gt;"",E88&lt;&gt;"",E89&lt;=1,E88&lt;=1),MIN(20,C90+1),C90))))</f>
        <v/>
      </c>
      <c r="I90" s="22" t="str">
        <f aca="false">IF(H90="","",IF(H90&gt;C90,"Suba para o degrau "&amp;H90&amp;" ("&amp;INDEX(Degraus!$B$5:$B$24,H90)&amp;")",IF(H90&lt;C90,"Desça para o degrau "&amp;H90&amp;" ("&amp;INDEX(Degraus!$B$5:$B$24,H90)&amp;")","Repita o degrau "&amp;C90&amp;" até 3 sessões calmas seguidas")))</f>
        <v/>
      </c>
    </row>
    <row r="91" customFormat="false" ht="15" hidden="false" customHeight="false" outlineLevel="0" collapsed="false">
      <c r="A91" s="18" t="str">
        <f aca="false">IF(B91="","",ROW()-4)</f>
        <v/>
      </c>
      <c r="B91" s="19"/>
      <c r="C91" s="20"/>
      <c r="D91" s="18" t="str">
        <f aca="false">IF(C91="","",INDEX(Degraus!$B$5:$B$24,C91))</f>
        <v/>
      </c>
      <c r="E91" s="20"/>
      <c r="F91" s="21"/>
      <c r="G91" s="18" t="str">
        <f aca="false">IF(B91="","",INT((B91-MIN($B$5:$B$304))/7)+1)</f>
        <v/>
      </c>
      <c r="H91" s="18" t="str">
        <f aca="false">IF(OR(C91="",E91=""),"",IF(E91=3,MAX(1,C91-2),IF(E91=2,MAX(1,C91-1),IF(AND(C90=C91,C89=C91,E90&lt;&gt;"",E89&lt;&gt;"",E90&lt;=1,E89&lt;=1),MIN(20,C91+1),C91))))</f>
        <v/>
      </c>
      <c r="I91" s="22" t="str">
        <f aca="false">IF(H91="","",IF(H91&gt;C91,"Suba para o degrau "&amp;H91&amp;" ("&amp;INDEX(Degraus!$B$5:$B$24,H91)&amp;")",IF(H91&lt;C91,"Desça para o degrau "&amp;H91&amp;" ("&amp;INDEX(Degraus!$B$5:$B$24,H91)&amp;")","Repita o degrau "&amp;C91&amp;" até 3 sessões calmas seguidas")))</f>
        <v/>
      </c>
    </row>
    <row r="92" customFormat="false" ht="15" hidden="false" customHeight="false" outlineLevel="0" collapsed="false">
      <c r="A92" s="18" t="str">
        <f aca="false">IF(B92="","",ROW()-4)</f>
        <v/>
      </c>
      <c r="B92" s="19"/>
      <c r="C92" s="20"/>
      <c r="D92" s="18" t="str">
        <f aca="false">IF(C92="","",INDEX(Degraus!$B$5:$B$24,C92))</f>
        <v/>
      </c>
      <c r="E92" s="20"/>
      <c r="F92" s="21"/>
      <c r="G92" s="18" t="str">
        <f aca="false">IF(B92="","",INT((B92-MIN($B$5:$B$304))/7)+1)</f>
        <v/>
      </c>
      <c r="H92" s="18" t="str">
        <f aca="false">IF(OR(C92="",E92=""),"",IF(E92=3,MAX(1,C92-2),IF(E92=2,MAX(1,C92-1),IF(AND(C91=C92,C90=C92,E91&lt;&gt;"",E90&lt;&gt;"",E91&lt;=1,E90&lt;=1),MIN(20,C92+1),C92))))</f>
        <v/>
      </c>
      <c r="I92" s="22" t="str">
        <f aca="false">IF(H92="","",IF(H92&gt;C92,"Suba para o degrau "&amp;H92&amp;" ("&amp;INDEX(Degraus!$B$5:$B$24,H92)&amp;")",IF(H92&lt;C92,"Desça para o degrau "&amp;H92&amp;" ("&amp;INDEX(Degraus!$B$5:$B$24,H92)&amp;")","Repita o degrau "&amp;C92&amp;" até 3 sessões calmas seguidas")))</f>
        <v/>
      </c>
    </row>
    <row r="93" customFormat="false" ht="15" hidden="false" customHeight="false" outlineLevel="0" collapsed="false">
      <c r="A93" s="18" t="str">
        <f aca="false">IF(B93="","",ROW()-4)</f>
        <v/>
      </c>
      <c r="B93" s="19"/>
      <c r="C93" s="20"/>
      <c r="D93" s="18" t="str">
        <f aca="false">IF(C93="","",INDEX(Degraus!$B$5:$B$24,C93))</f>
        <v/>
      </c>
      <c r="E93" s="20"/>
      <c r="F93" s="21"/>
      <c r="G93" s="18" t="str">
        <f aca="false">IF(B93="","",INT((B93-MIN($B$5:$B$304))/7)+1)</f>
        <v/>
      </c>
      <c r="H93" s="18" t="str">
        <f aca="false">IF(OR(C93="",E93=""),"",IF(E93=3,MAX(1,C93-2),IF(E93=2,MAX(1,C93-1),IF(AND(C92=C93,C91=C93,E92&lt;&gt;"",E91&lt;&gt;"",E92&lt;=1,E91&lt;=1),MIN(20,C93+1),C93))))</f>
        <v/>
      </c>
      <c r="I93" s="22" t="str">
        <f aca="false">IF(H93="","",IF(H93&gt;C93,"Suba para o degrau "&amp;H93&amp;" ("&amp;INDEX(Degraus!$B$5:$B$24,H93)&amp;")",IF(H93&lt;C93,"Desça para o degrau "&amp;H93&amp;" ("&amp;INDEX(Degraus!$B$5:$B$24,H93)&amp;")","Repita o degrau "&amp;C93&amp;" até 3 sessões calmas seguidas")))</f>
        <v/>
      </c>
    </row>
    <row r="94" customFormat="false" ht="15" hidden="false" customHeight="false" outlineLevel="0" collapsed="false">
      <c r="A94" s="18" t="str">
        <f aca="false">IF(B94="","",ROW()-4)</f>
        <v/>
      </c>
      <c r="B94" s="19"/>
      <c r="C94" s="20"/>
      <c r="D94" s="18" t="str">
        <f aca="false">IF(C94="","",INDEX(Degraus!$B$5:$B$24,C94))</f>
        <v/>
      </c>
      <c r="E94" s="20"/>
      <c r="F94" s="21"/>
      <c r="G94" s="18" t="str">
        <f aca="false">IF(B94="","",INT((B94-MIN($B$5:$B$304))/7)+1)</f>
        <v/>
      </c>
      <c r="H94" s="18" t="str">
        <f aca="false">IF(OR(C94="",E94=""),"",IF(E94=3,MAX(1,C94-2),IF(E94=2,MAX(1,C94-1),IF(AND(C93=C94,C92=C94,E93&lt;&gt;"",E92&lt;&gt;"",E93&lt;=1,E92&lt;=1),MIN(20,C94+1),C94))))</f>
        <v/>
      </c>
      <c r="I94" s="22" t="str">
        <f aca="false">IF(H94="","",IF(H94&gt;C94,"Suba para o degrau "&amp;H94&amp;" ("&amp;INDEX(Degraus!$B$5:$B$24,H94)&amp;")",IF(H94&lt;C94,"Desça para o degrau "&amp;H94&amp;" ("&amp;INDEX(Degraus!$B$5:$B$24,H94)&amp;")","Repita o degrau "&amp;C94&amp;" até 3 sessões calmas seguidas")))</f>
        <v/>
      </c>
    </row>
    <row r="95" customFormat="false" ht="15" hidden="false" customHeight="false" outlineLevel="0" collapsed="false">
      <c r="A95" s="18" t="str">
        <f aca="false">IF(B95="","",ROW()-4)</f>
        <v/>
      </c>
      <c r="B95" s="19"/>
      <c r="C95" s="20"/>
      <c r="D95" s="18" t="str">
        <f aca="false">IF(C95="","",INDEX(Degraus!$B$5:$B$24,C95))</f>
        <v/>
      </c>
      <c r="E95" s="20"/>
      <c r="F95" s="21"/>
      <c r="G95" s="18" t="str">
        <f aca="false">IF(B95="","",INT((B95-MIN($B$5:$B$304))/7)+1)</f>
        <v/>
      </c>
      <c r="H95" s="18" t="str">
        <f aca="false">IF(OR(C95="",E95=""),"",IF(E95=3,MAX(1,C95-2),IF(E95=2,MAX(1,C95-1),IF(AND(C94=C95,C93=C95,E94&lt;&gt;"",E93&lt;&gt;"",E94&lt;=1,E93&lt;=1),MIN(20,C95+1),C95))))</f>
        <v/>
      </c>
      <c r="I95" s="22" t="str">
        <f aca="false">IF(H95="","",IF(H95&gt;C95,"Suba para o degrau "&amp;H95&amp;" ("&amp;INDEX(Degraus!$B$5:$B$24,H95)&amp;")",IF(H95&lt;C95,"Desça para o degrau "&amp;H95&amp;" ("&amp;INDEX(Degraus!$B$5:$B$24,H95)&amp;")","Repita o degrau "&amp;C95&amp;" até 3 sessões calmas seguidas")))</f>
        <v/>
      </c>
    </row>
    <row r="96" customFormat="false" ht="15" hidden="false" customHeight="false" outlineLevel="0" collapsed="false">
      <c r="A96" s="18" t="str">
        <f aca="false">IF(B96="","",ROW()-4)</f>
        <v/>
      </c>
      <c r="B96" s="19"/>
      <c r="C96" s="20"/>
      <c r="D96" s="18" t="str">
        <f aca="false">IF(C96="","",INDEX(Degraus!$B$5:$B$24,C96))</f>
        <v/>
      </c>
      <c r="E96" s="20"/>
      <c r="F96" s="21"/>
      <c r="G96" s="18" t="str">
        <f aca="false">IF(B96="","",INT((B96-MIN($B$5:$B$304))/7)+1)</f>
        <v/>
      </c>
      <c r="H96" s="18" t="str">
        <f aca="false">IF(OR(C96="",E96=""),"",IF(E96=3,MAX(1,C96-2),IF(E96=2,MAX(1,C96-1),IF(AND(C95=C96,C94=C96,E95&lt;&gt;"",E94&lt;&gt;"",E95&lt;=1,E94&lt;=1),MIN(20,C96+1),C96))))</f>
        <v/>
      </c>
      <c r="I96" s="22" t="str">
        <f aca="false">IF(H96="","",IF(H96&gt;C96,"Suba para o degrau "&amp;H96&amp;" ("&amp;INDEX(Degraus!$B$5:$B$24,H96)&amp;")",IF(H96&lt;C96,"Desça para o degrau "&amp;H96&amp;" ("&amp;INDEX(Degraus!$B$5:$B$24,H96)&amp;")","Repita o degrau "&amp;C96&amp;" até 3 sessões calmas seguidas")))</f>
        <v/>
      </c>
    </row>
    <row r="97" customFormat="false" ht="15" hidden="false" customHeight="false" outlineLevel="0" collapsed="false">
      <c r="A97" s="18" t="str">
        <f aca="false">IF(B97="","",ROW()-4)</f>
        <v/>
      </c>
      <c r="B97" s="19"/>
      <c r="C97" s="20"/>
      <c r="D97" s="18" t="str">
        <f aca="false">IF(C97="","",INDEX(Degraus!$B$5:$B$24,C97))</f>
        <v/>
      </c>
      <c r="E97" s="20"/>
      <c r="F97" s="21"/>
      <c r="G97" s="18" t="str">
        <f aca="false">IF(B97="","",INT((B97-MIN($B$5:$B$304))/7)+1)</f>
        <v/>
      </c>
      <c r="H97" s="18" t="str">
        <f aca="false">IF(OR(C97="",E97=""),"",IF(E97=3,MAX(1,C97-2),IF(E97=2,MAX(1,C97-1),IF(AND(C96=C97,C95=C97,E96&lt;&gt;"",E95&lt;&gt;"",E96&lt;=1,E95&lt;=1),MIN(20,C97+1),C97))))</f>
        <v/>
      </c>
      <c r="I97" s="22" t="str">
        <f aca="false">IF(H97="","",IF(H97&gt;C97,"Suba para o degrau "&amp;H97&amp;" ("&amp;INDEX(Degraus!$B$5:$B$24,H97)&amp;")",IF(H97&lt;C97,"Desça para o degrau "&amp;H97&amp;" ("&amp;INDEX(Degraus!$B$5:$B$24,H97)&amp;")","Repita o degrau "&amp;C97&amp;" até 3 sessões calmas seguidas")))</f>
        <v/>
      </c>
    </row>
    <row r="98" customFormat="false" ht="15" hidden="false" customHeight="false" outlineLevel="0" collapsed="false">
      <c r="A98" s="18" t="str">
        <f aca="false">IF(B98="","",ROW()-4)</f>
        <v/>
      </c>
      <c r="B98" s="19"/>
      <c r="C98" s="20"/>
      <c r="D98" s="18" t="str">
        <f aca="false">IF(C98="","",INDEX(Degraus!$B$5:$B$24,C98))</f>
        <v/>
      </c>
      <c r="E98" s="20"/>
      <c r="F98" s="21"/>
      <c r="G98" s="18" t="str">
        <f aca="false">IF(B98="","",INT((B98-MIN($B$5:$B$304))/7)+1)</f>
        <v/>
      </c>
      <c r="H98" s="18" t="str">
        <f aca="false">IF(OR(C98="",E98=""),"",IF(E98=3,MAX(1,C98-2),IF(E98=2,MAX(1,C98-1),IF(AND(C97=C98,C96=C98,E97&lt;&gt;"",E96&lt;&gt;"",E97&lt;=1,E96&lt;=1),MIN(20,C98+1),C98))))</f>
        <v/>
      </c>
      <c r="I98" s="22" t="str">
        <f aca="false">IF(H98="","",IF(H98&gt;C98,"Suba para o degrau "&amp;H98&amp;" ("&amp;INDEX(Degraus!$B$5:$B$24,H98)&amp;")",IF(H98&lt;C98,"Desça para o degrau "&amp;H98&amp;" ("&amp;INDEX(Degraus!$B$5:$B$24,H98)&amp;")","Repita o degrau "&amp;C98&amp;" até 3 sessões calmas seguidas")))</f>
        <v/>
      </c>
    </row>
    <row r="99" customFormat="false" ht="15" hidden="false" customHeight="false" outlineLevel="0" collapsed="false">
      <c r="A99" s="18" t="str">
        <f aca="false">IF(B99="","",ROW()-4)</f>
        <v/>
      </c>
      <c r="B99" s="19"/>
      <c r="C99" s="20"/>
      <c r="D99" s="18" t="str">
        <f aca="false">IF(C99="","",INDEX(Degraus!$B$5:$B$24,C99))</f>
        <v/>
      </c>
      <c r="E99" s="20"/>
      <c r="F99" s="21"/>
      <c r="G99" s="18" t="str">
        <f aca="false">IF(B99="","",INT((B99-MIN($B$5:$B$304))/7)+1)</f>
        <v/>
      </c>
      <c r="H99" s="18" t="str">
        <f aca="false">IF(OR(C99="",E99=""),"",IF(E99=3,MAX(1,C99-2),IF(E99=2,MAX(1,C99-1),IF(AND(C98=C99,C97=C99,E98&lt;&gt;"",E97&lt;&gt;"",E98&lt;=1,E97&lt;=1),MIN(20,C99+1),C99))))</f>
        <v/>
      </c>
      <c r="I99" s="22" t="str">
        <f aca="false">IF(H99="","",IF(H99&gt;C99,"Suba para o degrau "&amp;H99&amp;" ("&amp;INDEX(Degraus!$B$5:$B$24,H99)&amp;")",IF(H99&lt;C99,"Desça para o degrau "&amp;H99&amp;" ("&amp;INDEX(Degraus!$B$5:$B$24,H99)&amp;")","Repita o degrau "&amp;C99&amp;" até 3 sessões calmas seguidas")))</f>
        <v/>
      </c>
    </row>
    <row r="100" customFormat="false" ht="15" hidden="false" customHeight="false" outlineLevel="0" collapsed="false">
      <c r="A100" s="18" t="str">
        <f aca="false">IF(B100="","",ROW()-4)</f>
        <v/>
      </c>
      <c r="B100" s="19"/>
      <c r="C100" s="20"/>
      <c r="D100" s="18" t="str">
        <f aca="false">IF(C100="","",INDEX(Degraus!$B$5:$B$24,C100))</f>
        <v/>
      </c>
      <c r="E100" s="20"/>
      <c r="F100" s="21"/>
      <c r="G100" s="18" t="str">
        <f aca="false">IF(B100="","",INT((B100-MIN($B$5:$B$304))/7)+1)</f>
        <v/>
      </c>
      <c r="H100" s="18" t="str">
        <f aca="false">IF(OR(C100="",E100=""),"",IF(E100=3,MAX(1,C100-2),IF(E100=2,MAX(1,C100-1),IF(AND(C99=C100,C98=C100,E99&lt;&gt;"",E98&lt;&gt;"",E99&lt;=1,E98&lt;=1),MIN(20,C100+1),C100))))</f>
        <v/>
      </c>
      <c r="I100" s="22" t="str">
        <f aca="false">IF(H100="","",IF(H100&gt;C100,"Suba para o degrau "&amp;H100&amp;" ("&amp;INDEX(Degraus!$B$5:$B$24,H100)&amp;")",IF(H100&lt;C100,"Desça para o degrau "&amp;H100&amp;" ("&amp;INDEX(Degraus!$B$5:$B$24,H100)&amp;")","Repita o degrau "&amp;C100&amp;" até 3 sessões calmas seguidas")))</f>
        <v/>
      </c>
    </row>
    <row r="101" customFormat="false" ht="15" hidden="false" customHeight="false" outlineLevel="0" collapsed="false">
      <c r="A101" s="18" t="str">
        <f aca="false">IF(B101="","",ROW()-4)</f>
        <v/>
      </c>
      <c r="B101" s="19"/>
      <c r="C101" s="20"/>
      <c r="D101" s="18" t="str">
        <f aca="false">IF(C101="","",INDEX(Degraus!$B$5:$B$24,C101))</f>
        <v/>
      </c>
      <c r="E101" s="20"/>
      <c r="F101" s="21"/>
      <c r="G101" s="18" t="str">
        <f aca="false">IF(B101="","",INT((B101-MIN($B$5:$B$304))/7)+1)</f>
        <v/>
      </c>
      <c r="H101" s="18" t="str">
        <f aca="false">IF(OR(C101="",E101=""),"",IF(E101=3,MAX(1,C101-2),IF(E101=2,MAX(1,C101-1),IF(AND(C100=C101,C99=C101,E100&lt;&gt;"",E99&lt;&gt;"",E100&lt;=1,E99&lt;=1),MIN(20,C101+1),C101))))</f>
        <v/>
      </c>
      <c r="I101" s="22" t="str">
        <f aca="false">IF(H101="","",IF(H101&gt;C101,"Suba para o degrau "&amp;H101&amp;" ("&amp;INDEX(Degraus!$B$5:$B$24,H101)&amp;")",IF(H101&lt;C101,"Desça para o degrau "&amp;H101&amp;" ("&amp;INDEX(Degraus!$B$5:$B$24,H101)&amp;")","Repita o degrau "&amp;C101&amp;" até 3 sessões calmas seguidas")))</f>
        <v/>
      </c>
    </row>
    <row r="102" customFormat="false" ht="15" hidden="false" customHeight="false" outlineLevel="0" collapsed="false">
      <c r="A102" s="18" t="str">
        <f aca="false">IF(B102="","",ROW()-4)</f>
        <v/>
      </c>
      <c r="B102" s="19"/>
      <c r="C102" s="20"/>
      <c r="D102" s="18" t="str">
        <f aca="false">IF(C102="","",INDEX(Degraus!$B$5:$B$24,C102))</f>
        <v/>
      </c>
      <c r="E102" s="20"/>
      <c r="F102" s="21"/>
      <c r="G102" s="18" t="str">
        <f aca="false">IF(B102="","",INT((B102-MIN($B$5:$B$304))/7)+1)</f>
        <v/>
      </c>
      <c r="H102" s="18" t="str">
        <f aca="false">IF(OR(C102="",E102=""),"",IF(E102=3,MAX(1,C102-2),IF(E102=2,MAX(1,C102-1),IF(AND(C101=C102,C100=C102,E101&lt;&gt;"",E100&lt;&gt;"",E101&lt;=1,E100&lt;=1),MIN(20,C102+1),C102))))</f>
        <v/>
      </c>
      <c r="I102" s="22" t="str">
        <f aca="false">IF(H102="","",IF(H102&gt;C102,"Suba para o degrau "&amp;H102&amp;" ("&amp;INDEX(Degraus!$B$5:$B$24,H102)&amp;")",IF(H102&lt;C102,"Desça para o degrau "&amp;H102&amp;" ("&amp;INDEX(Degraus!$B$5:$B$24,H102)&amp;")","Repita o degrau "&amp;C102&amp;" até 3 sessões calmas seguidas")))</f>
        <v/>
      </c>
    </row>
    <row r="103" customFormat="false" ht="15" hidden="false" customHeight="false" outlineLevel="0" collapsed="false">
      <c r="A103" s="18" t="str">
        <f aca="false">IF(B103="","",ROW()-4)</f>
        <v/>
      </c>
      <c r="B103" s="19"/>
      <c r="C103" s="20"/>
      <c r="D103" s="18" t="str">
        <f aca="false">IF(C103="","",INDEX(Degraus!$B$5:$B$24,C103))</f>
        <v/>
      </c>
      <c r="E103" s="20"/>
      <c r="F103" s="21"/>
      <c r="G103" s="18" t="str">
        <f aca="false">IF(B103="","",INT((B103-MIN($B$5:$B$304))/7)+1)</f>
        <v/>
      </c>
      <c r="H103" s="18" t="str">
        <f aca="false">IF(OR(C103="",E103=""),"",IF(E103=3,MAX(1,C103-2),IF(E103=2,MAX(1,C103-1),IF(AND(C102=C103,C101=C103,E102&lt;&gt;"",E101&lt;&gt;"",E102&lt;=1,E101&lt;=1),MIN(20,C103+1),C103))))</f>
        <v/>
      </c>
      <c r="I103" s="22" t="str">
        <f aca="false">IF(H103="","",IF(H103&gt;C103,"Suba para o degrau "&amp;H103&amp;" ("&amp;INDEX(Degraus!$B$5:$B$24,H103)&amp;")",IF(H103&lt;C103,"Desça para o degrau "&amp;H103&amp;" ("&amp;INDEX(Degraus!$B$5:$B$24,H103)&amp;")","Repita o degrau "&amp;C103&amp;" até 3 sessões calmas seguidas")))</f>
        <v/>
      </c>
    </row>
    <row r="104" customFormat="false" ht="15" hidden="false" customHeight="false" outlineLevel="0" collapsed="false">
      <c r="A104" s="18" t="str">
        <f aca="false">IF(B104="","",ROW()-4)</f>
        <v/>
      </c>
      <c r="B104" s="19"/>
      <c r="C104" s="20"/>
      <c r="D104" s="18" t="str">
        <f aca="false">IF(C104="","",INDEX(Degraus!$B$5:$B$24,C104))</f>
        <v/>
      </c>
      <c r="E104" s="20"/>
      <c r="F104" s="21"/>
      <c r="G104" s="18" t="str">
        <f aca="false">IF(B104="","",INT((B104-MIN($B$5:$B$304))/7)+1)</f>
        <v/>
      </c>
      <c r="H104" s="18" t="str">
        <f aca="false">IF(OR(C104="",E104=""),"",IF(E104=3,MAX(1,C104-2),IF(E104=2,MAX(1,C104-1),IF(AND(C103=C104,C102=C104,E103&lt;&gt;"",E102&lt;&gt;"",E103&lt;=1,E102&lt;=1),MIN(20,C104+1),C104))))</f>
        <v/>
      </c>
      <c r="I104" s="22" t="str">
        <f aca="false">IF(H104="","",IF(H104&gt;C104,"Suba para o degrau "&amp;H104&amp;" ("&amp;INDEX(Degraus!$B$5:$B$24,H104)&amp;")",IF(H104&lt;C104,"Desça para o degrau "&amp;H104&amp;" ("&amp;INDEX(Degraus!$B$5:$B$24,H104)&amp;")","Repita o degrau "&amp;C104&amp;" até 3 sessões calmas seguidas")))</f>
        <v/>
      </c>
    </row>
    <row r="105" customFormat="false" ht="15" hidden="false" customHeight="false" outlineLevel="0" collapsed="false">
      <c r="A105" s="18" t="str">
        <f aca="false">IF(B105="","",ROW()-4)</f>
        <v/>
      </c>
      <c r="B105" s="19"/>
      <c r="C105" s="20"/>
      <c r="D105" s="18" t="str">
        <f aca="false">IF(C105="","",INDEX(Degraus!$B$5:$B$24,C105))</f>
        <v/>
      </c>
      <c r="E105" s="20"/>
      <c r="F105" s="21"/>
      <c r="G105" s="18" t="str">
        <f aca="false">IF(B105="","",INT((B105-MIN($B$5:$B$304))/7)+1)</f>
        <v/>
      </c>
      <c r="H105" s="18" t="str">
        <f aca="false">IF(OR(C105="",E105=""),"",IF(E105=3,MAX(1,C105-2),IF(E105=2,MAX(1,C105-1),IF(AND(C104=C105,C103=C105,E104&lt;&gt;"",E103&lt;&gt;"",E104&lt;=1,E103&lt;=1),MIN(20,C105+1),C105))))</f>
        <v/>
      </c>
      <c r="I105" s="22" t="str">
        <f aca="false">IF(H105="","",IF(H105&gt;C105,"Suba para o degrau "&amp;H105&amp;" ("&amp;INDEX(Degraus!$B$5:$B$24,H105)&amp;")",IF(H105&lt;C105,"Desça para o degrau "&amp;H105&amp;" ("&amp;INDEX(Degraus!$B$5:$B$24,H105)&amp;")","Repita o degrau "&amp;C105&amp;" até 3 sessões calmas seguidas")))</f>
        <v/>
      </c>
    </row>
    <row r="106" customFormat="false" ht="15" hidden="false" customHeight="false" outlineLevel="0" collapsed="false">
      <c r="A106" s="18" t="str">
        <f aca="false">IF(B106="","",ROW()-4)</f>
        <v/>
      </c>
      <c r="B106" s="19"/>
      <c r="C106" s="20"/>
      <c r="D106" s="18" t="str">
        <f aca="false">IF(C106="","",INDEX(Degraus!$B$5:$B$24,C106))</f>
        <v/>
      </c>
      <c r="E106" s="20"/>
      <c r="F106" s="21"/>
      <c r="G106" s="18" t="str">
        <f aca="false">IF(B106="","",INT((B106-MIN($B$5:$B$304))/7)+1)</f>
        <v/>
      </c>
      <c r="H106" s="18" t="str">
        <f aca="false">IF(OR(C106="",E106=""),"",IF(E106=3,MAX(1,C106-2),IF(E106=2,MAX(1,C106-1),IF(AND(C105=C106,C104=C106,E105&lt;&gt;"",E104&lt;&gt;"",E105&lt;=1,E104&lt;=1),MIN(20,C106+1),C106))))</f>
        <v/>
      </c>
      <c r="I106" s="22" t="str">
        <f aca="false">IF(H106="","",IF(H106&gt;C106,"Suba para o degrau "&amp;H106&amp;" ("&amp;INDEX(Degraus!$B$5:$B$24,H106)&amp;")",IF(H106&lt;C106,"Desça para o degrau "&amp;H106&amp;" ("&amp;INDEX(Degraus!$B$5:$B$24,H106)&amp;")","Repita o degrau "&amp;C106&amp;" até 3 sessões calmas seguidas")))</f>
        <v/>
      </c>
    </row>
    <row r="107" customFormat="false" ht="15" hidden="false" customHeight="false" outlineLevel="0" collapsed="false">
      <c r="A107" s="18" t="str">
        <f aca="false">IF(B107="","",ROW()-4)</f>
        <v/>
      </c>
      <c r="B107" s="19"/>
      <c r="C107" s="20"/>
      <c r="D107" s="18" t="str">
        <f aca="false">IF(C107="","",INDEX(Degraus!$B$5:$B$24,C107))</f>
        <v/>
      </c>
      <c r="E107" s="20"/>
      <c r="F107" s="21"/>
      <c r="G107" s="18" t="str">
        <f aca="false">IF(B107="","",INT((B107-MIN($B$5:$B$304))/7)+1)</f>
        <v/>
      </c>
      <c r="H107" s="18" t="str">
        <f aca="false">IF(OR(C107="",E107=""),"",IF(E107=3,MAX(1,C107-2),IF(E107=2,MAX(1,C107-1),IF(AND(C106=C107,C105=C107,E106&lt;&gt;"",E105&lt;&gt;"",E106&lt;=1,E105&lt;=1),MIN(20,C107+1),C107))))</f>
        <v/>
      </c>
      <c r="I107" s="22" t="str">
        <f aca="false">IF(H107="","",IF(H107&gt;C107,"Suba para o degrau "&amp;H107&amp;" ("&amp;INDEX(Degraus!$B$5:$B$24,H107)&amp;")",IF(H107&lt;C107,"Desça para o degrau "&amp;H107&amp;" ("&amp;INDEX(Degraus!$B$5:$B$24,H107)&amp;")","Repita o degrau "&amp;C107&amp;" até 3 sessões calmas seguidas")))</f>
        <v/>
      </c>
    </row>
    <row r="108" customFormat="false" ht="15" hidden="false" customHeight="false" outlineLevel="0" collapsed="false">
      <c r="A108" s="18" t="str">
        <f aca="false">IF(B108="","",ROW()-4)</f>
        <v/>
      </c>
      <c r="B108" s="19"/>
      <c r="C108" s="20"/>
      <c r="D108" s="18" t="str">
        <f aca="false">IF(C108="","",INDEX(Degraus!$B$5:$B$24,C108))</f>
        <v/>
      </c>
      <c r="E108" s="20"/>
      <c r="F108" s="21"/>
      <c r="G108" s="18" t="str">
        <f aca="false">IF(B108="","",INT((B108-MIN($B$5:$B$304))/7)+1)</f>
        <v/>
      </c>
      <c r="H108" s="18" t="str">
        <f aca="false">IF(OR(C108="",E108=""),"",IF(E108=3,MAX(1,C108-2),IF(E108=2,MAX(1,C108-1),IF(AND(C107=C108,C106=C108,E107&lt;&gt;"",E106&lt;&gt;"",E107&lt;=1,E106&lt;=1),MIN(20,C108+1),C108))))</f>
        <v/>
      </c>
      <c r="I108" s="22" t="str">
        <f aca="false">IF(H108="","",IF(H108&gt;C108,"Suba para o degrau "&amp;H108&amp;" ("&amp;INDEX(Degraus!$B$5:$B$24,H108)&amp;")",IF(H108&lt;C108,"Desça para o degrau "&amp;H108&amp;" ("&amp;INDEX(Degraus!$B$5:$B$24,H108)&amp;")","Repita o degrau "&amp;C108&amp;" até 3 sessões calmas seguidas")))</f>
        <v/>
      </c>
    </row>
    <row r="109" customFormat="false" ht="15" hidden="false" customHeight="false" outlineLevel="0" collapsed="false">
      <c r="A109" s="18" t="str">
        <f aca="false">IF(B109="","",ROW()-4)</f>
        <v/>
      </c>
      <c r="B109" s="19"/>
      <c r="C109" s="20"/>
      <c r="D109" s="18" t="str">
        <f aca="false">IF(C109="","",INDEX(Degraus!$B$5:$B$24,C109))</f>
        <v/>
      </c>
      <c r="E109" s="20"/>
      <c r="F109" s="21"/>
      <c r="G109" s="18" t="str">
        <f aca="false">IF(B109="","",INT((B109-MIN($B$5:$B$304))/7)+1)</f>
        <v/>
      </c>
      <c r="H109" s="18" t="str">
        <f aca="false">IF(OR(C109="",E109=""),"",IF(E109=3,MAX(1,C109-2),IF(E109=2,MAX(1,C109-1),IF(AND(C108=C109,C107=C109,E108&lt;&gt;"",E107&lt;&gt;"",E108&lt;=1,E107&lt;=1),MIN(20,C109+1),C109))))</f>
        <v/>
      </c>
      <c r="I109" s="22" t="str">
        <f aca="false">IF(H109="","",IF(H109&gt;C109,"Suba para o degrau "&amp;H109&amp;" ("&amp;INDEX(Degraus!$B$5:$B$24,H109)&amp;")",IF(H109&lt;C109,"Desça para o degrau "&amp;H109&amp;" ("&amp;INDEX(Degraus!$B$5:$B$24,H109)&amp;")","Repita o degrau "&amp;C109&amp;" até 3 sessões calmas seguidas")))</f>
        <v/>
      </c>
    </row>
    <row r="110" customFormat="false" ht="15" hidden="false" customHeight="false" outlineLevel="0" collapsed="false">
      <c r="A110" s="18" t="str">
        <f aca="false">IF(B110="","",ROW()-4)</f>
        <v/>
      </c>
      <c r="B110" s="19"/>
      <c r="C110" s="20"/>
      <c r="D110" s="18" t="str">
        <f aca="false">IF(C110="","",INDEX(Degraus!$B$5:$B$24,C110))</f>
        <v/>
      </c>
      <c r="E110" s="20"/>
      <c r="F110" s="21"/>
      <c r="G110" s="18" t="str">
        <f aca="false">IF(B110="","",INT((B110-MIN($B$5:$B$304))/7)+1)</f>
        <v/>
      </c>
      <c r="H110" s="18" t="str">
        <f aca="false">IF(OR(C110="",E110=""),"",IF(E110=3,MAX(1,C110-2),IF(E110=2,MAX(1,C110-1),IF(AND(C109=C110,C108=C110,E109&lt;&gt;"",E108&lt;&gt;"",E109&lt;=1,E108&lt;=1),MIN(20,C110+1),C110))))</f>
        <v/>
      </c>
      <c r="I110" s="22" t="str">
        <f aca="false">IF(H110="","",IF(H110&gt;C110,"Suba para o degrau "&amp;H110&amp;" ("&amp;INDEX(Degraus!$B$5:$B$24,H110)&amp;")",IF(H110&lt;C110,"Desça para o degrau "&amp;H110&amp;" ("&amp;INDEX(Degraus!$B$5:$B$24,H110)&amp;")","Repita o degrau "&amp;C110&amp;" até 3 sessões calmas seguidas")))</f>
        <v/>
      </c>
    </row>
    <row r="111" customFormat="false" ht="15" hidden="false" customHeight="false" outlineLevel="0" collapsed="false">
      <c r="A111" s="18" t="str">
        <f aca="false">IF(B111="","",ROW()-4)</f>
        <v/>
      </c>
      <c r="B111" s="19"/>
      <c r="C111" s="20"/>
      <c r="D111" s="18" t="str">
        <f aca="false">IF(C111="","",INDEX(Degraus!$B$5:$B$24,C111))</f>
        <v/>
      </c>
      <c r="E111" s="20"/>
      <c r="F111" s="21"/>
      <c r="G111" s="18" t="str">
        <f aca="false">IF(B111="","",INT((B111-MIN($B$5:$B$304))/7)+1)</f>
        <v/>
      </c>
      <c r="H111" s="18" t="str">
        <f aca="false">IF(OR(C111="",E111=""),"",IF(E111=3,MAX(1,C111-2),IF(E111=2,MAX(1,C111-1),IF(AND(C110=C111,C109=C111,E110&lt;&gt;"",E109&lt;&gt;"",E110&lt;=1,E109&lt;=1),MIN(20,C111+1),C111))))</f>
        <v/>
      </c>
      <c r="I111" s="22" t="str">
        <f aca="false">IF(H111="","",IF(H111&gt;C111,"Suba para o degrau "&amp;H111&amp;" ("&amp;INDEX(Degraus!$B$5:$B$24,H111)&amp;")",IF(H111&lt;C111,"Desça para o degrau "&amp;H111&amp;" ("&amp;INDEX(Degraus!$B$5:$B$24,H111)&amp;")","Repita o degrau "&amp;C111&amp;" até 3 sessões calmas seguidas")))</f>
        <v/>
      </c>
    </row>
    <row r="112" customFormat="false" ht="15" hidden="false" customHeight="false" outlineLevel="0" collapsed="false">
      <c r="A112" s="18" t="str">
        <f aca="false">IF(B112="","",ROW()-4)</f>
        <v/>
      </c>
      <c r="B112" s="19"/>
      <c r="C112" s="20"/>
      <c r="D112" s="18" t="str">
        <f aca="false">IF(C112="","",INDEX(Degraus!$B$5:$B$24,C112))</f>
        <v/>
      </c>
      <c r="E112" s="20"/>
      <c r="F112" s="21"/>
      <c r="G112" s="18" t="str">
        <f aca="false">IF(B112="","",INT((B112-MIN($B$5:$B$304))/7)+1)</f>
        <v/>
      </c>
      <c r="H112" s="18" t="str">
        <f aca="false">IF(OR(C112="",E112=""),"",IF(E112=3,MAX(1,C112-2),IF(E112=2,MAX(1,C112-1),IF(AND(C111=C112,C110=C112,E111&lt;&gt;"",E110&lt;&gt;"",E111&lt;=1,E110&lt;=1),MIN(20,C112+1),C112))))</f>
        <v/>
      </c>
      <c r="I112" s="22" t="str">
        <f aca="false">IF(H112="","",IF(H112&gt;C112,"Suba para o degrau "&amp;H112&amp;" ("&amp;INDEX(Degraus!$B$5:$B$24,H112)&amp;")",IF(H112&lt;C112,"Desça para o degrau "&amp;H112&amp;" ("&amp;INDEX(Degraus!$B$5:$B$24,H112)&amp;")","Repita o degrau "&amp;C112&amp;" até 3 sessões calmas seguidas")))</f>
        <v/>
      </c>
    </row>
    <row r="113" customFormat="false" ht="15" hidden="false" customHeight="false" outlineLevel="0" collapsed="false">
      <c r="A113" s="18" t="str">
        <f aca="false">IF(B113="","",ROW()-4)</f>
        <v/>
      </c>
      <c r="B113" s="19"/>
      <c r="C113" s="20"/>
      <c r="D113" s="18" t="str">
        <f aca="false">IF(C113="","",INDEX(Degraus!$B$5:$B$24,C113))</f>
        <v/>
      </c>
      <c r="E113" s="20"/>
      <c r="F113" s="21"/>
      <c r="G113" s="18" t="str">
        <f aca="false">IF(B113="","",INT((B113-MIN($B$5:$B$304))/7)+1)</f>
        <v/>
      </c>
      <c r="H113" s="18" t="str">
        <f aca="false">IF(OR(C113="",E113=""),"",IF(E113=3,MAX(1,C113-2),IF(E113=2,MAX(1,C113-1),IF(AND(C112=C113,C111=C113,E112&lt;&gt;"",E111&lt;&gt;"",E112&lt;=1,E111&lt;=1),MIN(20,C113+1),C113))))</f>
        <v/>
      </c>
      <c r="I113" s="22" t="str">
        <f aca="false">IF(H113="","",IF(H113&gt;C113,"Suba para o degrau "&amp;H113&amp;" ("&amp;INDEX(Degraus!$B$5:$B$24,H113)&amp;")",IF(H113&lt;C113,"Desça para o degrau "&amp;H113&amp;" ("&amp;INDEX(Degraus!$B$5:$B$24,H113)&amp;")","Repita o degrau "&amp;C113&amp;" até 3 sessões calmas seguidas")))</f>
        <v/>
      </c>
    </row>
    <row r="114" customFormat="false" ht="15" hidden="false" customHeight="false" outlineLevel="0" collapsed="false">
      <c r="A114" s="18" t="str">
        <f aca="false">IF(B114="","",ROW()-4)</f>
        <v/>
      </c>
      <c r="B114" s="19"/>
      <c r="C114" s="20"/>
      <c r="D114" s="18" t="str">
        <f aca="false">IF(C114="","",INDEX(Degraus!$B$5:$B$24,C114))</f>
        <v/>
      </c>
      <c r="E114" s="20"/>
      <c r="F114" s="21"/>
      <c r="G114" s="18" t="str">
        <f aca="false">IF(B114="","",INT((B114-MIN($B$5:$B$304))/7)+1)</f>
        <v/>
      </c>
      <c r="H114" s="18" t="str">
        <f aca="false">IF(OR(C114="",E114=""),"",IF(E114=3,MAX(1,C114-2),IF(E114=2,MAX(1,C114-1),IF(AND(C113=C114,C112=C114,E113&lt;&gt;"",E112&lt;&gt;"",E113&lt;=1,E112&lt;=1),MIN(20,C114+1),C114))))</f>
        <v/>
      </c>
      <c r="I114" s="22" t="str">
        <f aca="false">IF(H114="","",IF(H114&gt;C114,"Suba para o degrau "&amp;H114&amp;" ("&amp;INDEX(Degraus!$B$5:$B$24,H114)&amp;")",IF(H114&lt;C114,"Desça para o degrau "&amp;H114&amp;" ("&amp;INDEX(Degraus!$B$5:$B$24,H114)&amp;")","Repita o degrau "&amp;C114&amp;" até 3 sessões calmas seguidas")))</f>
        <v/>
      </c>
    </row>
    <row r="115" customFormat="false" ht="15" hidden="false" customHeight="false" outlineLevel="0" collapsed="false">
      <c r="A115" s="18" t="str">
        <f aca="false">IF(B115="","",ROW()-4)</f>
        <v/>
      </c>
      <c r="B115" s="19"/>
      <c r="C115" s="20"/>
      <c r="D115" s="18" t="str">
        <f aca="false">IF(C115="","",INDEX(Degraus!$B$5:$B$24,C115))</f>
        <v/>
      </c>
      <c r="E115" s="20"/>
      <c r="F115" s="21"/>
      <c r="G115" s="18" t="str">
        <f aca="false">IF(B115="","",INT((B115-MIN($B$5:$B$304))/7)+1)</f>
        <v/>
      </c>
      <c r="H115" s="18" t="str">
        <f aca="false">IF(OR(C115="",E115=""),"",IF(E115=3,MAX(1,C115-2),IF(E115=2,MAX(1,C115-1),IF(AND(C114=C115,C113=C115,E114&lt;&gt;"",E113&lt;&gt;"",E114&lt;=1,E113&lt;=1),MIN(20,C115+1),C115))))</f>
        <v/>
      </c>
      <c r="I115" s="22" t="str">
        <f aca="false">IF(H115="","",IF(H115&gt;C115,"Suba para o degrau "&amp;H115&amp;" ("&amp;INDEX(Degraus!$B$5:$B$24,H115)&amp;")",IF(H115&lt;C115,"Desça para o degrau "&amp;H115&amp;" ("&amp;INDEX(Degraus!$B$5:$B$24,H115)&amp;")","Repita o degrau "&amp;C115&amp;" até 3 sessões calmas seguidas")))</f>
        <v/>
      </c>
    </row>
    <row r="116" customFormat="false" ht="15" hidden="false" customHeight="false" outlineLevel="0" collapsed="false">
      <c r="A116" s="18" t="str">
        <f aca="false">IF(B116="","",ROW()-4)</f>
        <v/>
      </c>
      <c r="B116" s="19"/>
      <c r="C116" s="20"/>
      <c r="D116" s="18" t="str">
        <f aca="false">IF(C116="","",INDEX(Degraus!$B$5:$B$24,C116))</f>
        <v/>
      </c>
      <c r="E116" s="20"/>
      <c r="F116" s="21"/>
      <c r="G116" s="18" t="str">
        <f aca="false">IF(B116="","",INT((B116-MIN($B$5:$B$304))/7)+1)</f>
        <v/>
      </c>
      <c r="H116" s="18" t="str">
        <f aca="false">IF(OR(C116="",E116=""),"",IF(E116=3,MAX(1,C116-2),IF(E116=2,MAX(1,C116-1),IF(AND(C115=C116,C114=C116,E115&lt;&gt;"",E114&lt;&gt;"",E115&lt;=1,E114&lt;=1),MIN(20,C116+1),C116))))</f>
        <v/>
      </c>
      <c r="I116" s="22" t="str">
        <f aca="false">IF(H116="","",IF(H116&gt;C116,"Suba para o degrau "&amp;H116&amp;" ("&amp;INDEX(Degraus!$B$5:$B$24,H116)&amp;")",IF(H116&lt;C116,"Desça para o degrau "&amp;H116&amp;" ("&amp;INDEX(Degraus!$B$5:$B$24,H116)&amp;")","Repita o degrau "&amp;C116&amp;" até 3 sessões calmas seguidas")))</f>
        <v/>
      </c>
    </row>
    <row r="117" customFormat="false" ht="15" hidden="false" customHeight="false" outlineLevel="0" collapsed="false">
      <c r="A117" s="18" t="str">
        <f aca="false">IF(B117="","",ROW()-4)</f>
        <v/>
      </c>
      <c r="B117" s="19"/>
      <c r="C117" s="20"/>
      <c r="D117" s="18" t="str">
        <f aca="false">IF(C117="","",INDEX(Degraus!$B$5:$B$24,C117))</f>
        <v/>
      </c>
      <c r="E117" s="20"/>
      <c r="F117" s="21"/>
      <c r="G117" s="18" t="str">
        <f aca="false">IF(B117="","",INT((B117-MIN($B$5:$B$304))/7)+1)</f>
        <v/>
      </c>
      <c r="H117" s="18" t="str">
        <f aca="false">IF(OR(C117="",E117=""),"",IF(E117=3,MAX(1,C117-2),IF(E117=2,MAX(1,C117-1),IF(AND(C116=C117,C115=C117,E116&lt;&gt;"",E115&lt;&gt;"",E116&lt;=1,E115&lt;=1),MIN(20,C117+1),C117))))</f>
        <v/>
      </c>
      <c r="I117" s="22" t="str">
        <f aca="false">IF(H117="","",IF(H117&gt;C117,"Suba para o degrau "&amp;H117&amp;" ("&amp;INDEX(Degraus!$B$5:$B$24,H117)&amp;")",IF(H117&lt;C117,"Desça para o degrau "&amp;H117&amp;" ("&amp;INDEX(Degraus!$B$5:$B$24,H117)&amp;")","Repita o degrau "&amp;C117&amp;" até 3 sessões calmas seguidas")))</f>
        <v/>
      </c>
    </row>
    <row r="118" customFormat="false" ht="15" hidden="false" customHeight="false" outlineLevel="0" collapsed="false">
      <c r="A118" s="18" t="str">
        <f aca="false">IF(B118="","",ROW()-4)</f>
        <v/>
      </c>
      <c r="B118" s="19"/>
      <c r="C118" s="20"/>
      <c r="D118" s="18" t="str">
        <f aca="false">IF(C118="","",INDEX(Degraus!$B$5:$B$24,C118))</f>
        <v/>
      </c>
      <c r="E118" s="20"/>
      <c r="F118" s="21"/>
      <c r="G118" s="18" t="str">
        <f aca="false">IF(B118="","",INT((B118-MIN($B$5:$B$304))/7)+1)</f>
        <v/>
      </c>
      <c r="H118" s="18" t="str">
        <f aca="false">IF(OR(C118="",E118=""),"",IF(E118=3,MAX(1,C118-2),IF(E118=2,MAX(1,C118-1),IF(AND(C117=C118,C116=C118,E117&lt;&gt;"",E116&lt;&gt;"",E117&lt;=1,E116&lt;=1),MIN(20,C118+1),C118))))</f>
        <v/>
      </c>
      <c r="I118" s="22" t="str">
        <f aca="false">IF(H118="","",IF(H118&gt;C118,"Suba para o degrau "&amp;H118&amp;" ("&amp;INDEX(Degraus!$B$5:$B$24,H118)&amp;")",IF(H118&lt;C118,"Desça para o degrau "&amp;H118&amp;" ("&amp;INDEX(Degraus!$B$5:$B$24,H118)&amp;")","Repita o degrau "&amp;C118&amp;" até 3 sessões calmas seguidas")))</f>
        <v/>
      </c>
    </row>
    <row r="119" customFormat="false" ht="15" hidden="false" customHeight="false" outlineLevel="0" collapsed="false">
      <c r="A119" s="18" t="str">
        <f aca="false">IF(B119="","",ROW()-4)</f>
        <v/>
      </c>
      <c r="B119" s="19"/>
      <c r="C119" s="20"/>
      <c r="D119" s="18" t="str">
        <f aca="false">IF(C119="","",INDEX(Degraus!$B$5:$B$24,C119))</f>
        <v/>
      </c>
      <c r="E119" s="20"/>
      <c r="F119" s="21"/>
      <c r="G119" s="18" t="str">
        <f aca="false">IF(B119="","",INT((B119-MIN($B$5:$B$304))/7)+1)</f>
        <v/>
      </c>
      <c r="H119" s="18" t="str">
        <f aca="false">IF(OR(C119="",E119=""),"",IF(E119=3,MAX(1,C119-2),IF(E119=2,MAX(1,C119-1),IF(AND(C118=C119,C117=C119,E118&lt;&gt;"",E117&lt;&gt;"",E118&lt;=1,E117&lt;=1),MIN(20,C119+1),C119))))</f>
        <v/>
      </c>
      <c r="I119" s="22" t="str">
        <f aca="false">IF(H119="","",IF(H119&gt;C119,"Suba para o degrau "&amp;H119&amp;" ("&amp;INDEX(Degraus!$B$5:$B$24,H119)&amp;")",IF(H119&lt;C119,"Desça para o degrau "&amp;H119&amp;" ("&amp;INDEX(Degraus!$B$5:$B$24,H119)&amp;")","Repita o degrau "&amp;C119&amp;" até 3 sessões calmas seguidas")))</f>
        <v/>
      </c>
    </row>
    <row r="120" customFormat="false" ht="15" hidden="false" customHeight="false" outlineLevel="0" collapsed="false">
      <c r="A120" s="18" t="str">
        <f aca="false">IF(B120="","",ROW()-4)</f>
        <v/>
      </c>
      <c r="B120" s="19"/>
      <c r="C120" s="20"/>
      <c r="D120" s="18" t="str">
        <f aca="false">IF(C120="","",INDEX(Degraus!$B$5:$B$24,C120))</f>
        <v/>
      </c>
      <c r="E120" s="20"/>
      <c r="F120" s="21"/>
      <c r="G120" s="18" t="str">
        <f aca="false">IF(B120="","",INT((B120-MIN($B$5:$B$304))/7)+1)</f>
        <v/>
      </c>
      <c r="H120" s="18" t="str">
        <f aca="false">IF(OR(C120="",E120=""),"",IF(E120=3,MAX(1,C120-2),IF(E120=2,MAX(1,C120-1),IF(AND(C119=C120,C118=C120,E119&lt;&gt;"",E118&lt;&gt;"",E119&lt;=1,E118&lt;=1),MIN(20,C120+1),C120))))</f>
        <v/>
      </c>
      <c r="I120" s="22" t="str">
        <f aca="false">IF(H120="","",IF(H120&gt;C120,"Suba para o degrau "&amp;H120&amp;" ("&amp;INDEX(Degraus!$B$5:$B$24,H120)&amp;")",IF(H120&lt;C120,"Desça para o degrau "&amp;H120&amp;" ("&amp;INDEX(Degraus!$B$5:$B$24,H120)&amp;")","Repita o degrau "&amp;C120&amp;" até 3 sessões calmas seguidas")))</f>
        <v/>
      </c>
    </row>
    <row r="121" customFormat="false" ht="15" hidden="false" customHeight="false" outlineLevel="0" collapsed="false">
      <c r="A121" s="18" t="str">
        <f aca="false">IF(B121="","",ROW()-4)</f>
        <v/>
      </c>
      <c r="B121" s="19"/>
      <c r="C121" s="20"/>
      <c r="D121" s="18" t="str">
        <f aca="false">IF(C121="","",INDEX(Degraus!$B$5:$B$24,C121))</f>
        <v/>
      </c>
      <c r="E121" s="20"/>
      <c r="F121" s="21"/>
      <c r="G121" s="18" t="str">
        <f aca="false">IF(B121="","",INT((B121-MIN($B$5:$B$304))/7)+1)</f>
        <v/>
      </c>
      <c r="H121" s="18" t="str">
        <f aca="false">IF(OR(C121="",E121=""),"",IF(E121=3,MAX(1,C121-2),IF(E121=2,MAX(1,C121-1),IF(AND(C120=C121,C119=C121,E120&lt;&gt;"",E119&lt;&gt;"",E120&lt;=1,E119&lt;=1),MIN(20,C121+1),C121))))</f>
        <v/>
      </c>
      <c r="I121" s="22" t="str">
        <f aca="false">IF(H121="","",IF(H121&gt;C121,"Suba para o degrau "&amp;H121&amp;" ("&amp;INDEX(Degraus!$B$5:$B$24,H121)&amp;")",IF(H121&lt;C121,"Desça para o degrau "&amp;H121&amp;" ("&amp;INDEX(Degraus!$B$5:$B$24,H121)&amp;")","Repita o degrau "&amp;C121&amp;" até 3 sessões calmas seguidas")))</f>
        <v/>
      </c>
    </row>
    <row r="122" customFormat="false" ht="15" hidden="false" customHeight="false" outlineLevel="0" collapsed="false">
      <c r="A122" s="18" t="str">
        <f aca="false">IF(B122="","",ROW()-4)</f>
        <v/>
      </c>
      <c r="B122" s="19"/>
      <c r="C122" s="20"/>
      <c r="D122" s="18" t="str">
        <f aca="false">IF(C122="","",INDEX(Degraus!$B$5:$B$24,C122))</f>
        <v/>
      </c>
      <c r="E122" s="20"/>
      <c r="F122" s="21"/>
      <c r="G122" s="18" t="str">
        <f aca="false">IF(B122="","",INT((B122-MIN($B$5:$B$304))/7)+1)</f>
        <v/>
      </c>
      <c r="H122" s="18" t="str">
        <f aca="false">IF(OR(C122="",E122=""),"",IF(E122=3,MAX(1,C122-2),IF(E122=2,MAX(1,C122-1),IF(AND(C121=C122,C120=C122,E121&lt;&gt;"",E120&lt;&gt;"",E121&lt;=1,E120&lt;=1),MIN(20,C122+1),C122))))</f>
        <v/>
      </c>
      <c r="I122" s="22" t="str">
        <f aca="false">IF(H122="","",IF(H122&gt;C122,"Suba para o degrau "&amp;H122&amp;" ("&amp;INDEX(Degraus!$B$5:$B$24,H122)&amp;")",IF(H122&lt;C122,"Desça para o degrau "&amp;H122&amp;" ("&amp;INDEX(Degraus!$B$5:$B$24,H122)&amp;")","Repita o degrau "&amp;C122&amp;" até 3 sessões calmas seguidas")))</f>
        <v/>
      </c>
    </row>
    <row r="123" customFormat="false" ht="15" hidden="false" customHeight="false" outlineLevel="0" collapsed="false">
      <c r="A123" s="18" t="str">
        <f aca="false">IF(B123="","",ROW()-4)</f>
        <v/>
      </c>
      <c r="B123" s="19"/>
      <c r="C123" s="20"/>
      <c r="D123" s="18" t="str">
        <f aca="false">IF(C123="","",INDEX(Degraus!$B$5:$B$24,C123))</f>
        <v/>
      </c>
      <c r="E123" s="20"/>
      <c r="F123" s="21"/>
      <c r="G123" s="18" t="str">
        <f aca="false">IF(B123="","",INT((B123-MIN($B$5:$B$304))/7)+1)</f>
        <v/>
      </c>
      <c r="H123" s="18" t="str">
        <f aca="false">IF(OR(C123="",E123=""),"",IF(E123=3,MAX(1,C123-2),IF(E123=2,MAX(1,C123-1),IF(AND(C122=C123,C121=C123,E122&lt;&gt;"",E121&lt;&gt;"",E122&lt;=1,E121&lt;=1),MIN(20,C123+1),C123))))</f>
        <v/>
      </c>
      <c r="I123" s="22" t="str">
        <f aca="false">IF(H123="","",IF(H123&gt;C123,"Suba para o degrau "&amp;H123&amp;" ("&amp;INDEX(Degraus!$B$5:$B$24,H123)&amp;")",IF(H123&lt;C123,"Desça para o degrau "&amp;H123&amp;" ("&amp;INDEX(Degraus!$B$5:$B$24,H123)&amp;")","Repita o degrau "&amp;C123&amp;" até 3 sessões calmas seguidas")))</f>
        <v/>
      </c>
    </row>
    <row r="124" customFormat="false" ht="15" hidden="false" customHeight="false" outlineLevel="0" collapsed="false">
      <c r="A124" s="18" t="str">
        <f aca="false">IF(B124="","",ROW()-4)</f>
        <v/>
      </c>
      <c r="B124" s="19"/>
      <c r="C124" s="20"/>
      <c r="D124" s="18" t="str">
        <f aca="false">IF(C124="","",INDEX(Degraus!$B$5:$B$24,C124))</f>
        <v/>
      </c>
      <c r="E124" s="20"/>
      <c r="F124" s="21"/>
      <c r="G124" s="18" t="str">
        <f aca="false">IF(B124="","",INT((B124-MIN($B$5:$B$304))/7)+1)</f>
        <v/>
      </c>
      <c r="H124" s="18" t="str">
        <f aca="false">IF(OR(C124="",E124=""),"",IF(E124=3,MAX(1,C124-2),IF(E124=2,MAX(1,C124-1),IF(AND(C123=C124,C122=C124,E123&lt;&gt;"",E122&lt;&gt;"",E123&lt;=1,E122&lt;=1),MIN(20,C124+1),C124))))</f>
        <v/>
      </c>
      <c r="I124" s="22" t="str">
        <f aca="false">IF(H124="","",IF(H124&gt;C124,"Suba para o degrau "&amp;H124&amp;" ("&amp;INDEX(Degraus!$B$5:$B$24,H124)&amp;")",IF(H124&lt;C124,"Desça para o degrau "&amp;H124&amp;" ("&amp;INDEX(Degraus!$B$5:$B$24,H124)&amp;")","Repita o degrau "&amp;C124&amp;" até 3 sessões calmas seguidas")))</f>
        <v/>
      </c>
    </row>
    <row r="125" customFormat="false" ht="15" hidden="false" customHeight="false" outlineLevel="0" collapsed="false">
      <c r="A125" s="18" t="str">
        <f aca="false">IF(B125="","",ROW()-4)</f>
        <v/>
      </c>
      <c r="B125" s="19"/>
      <c r="C125" s="20"/>
      <c r="D125" s="18" t="str">
        <f aca="false">IF(C125="","",INDEX(Degraus!$B$5:$B$24,C125))</f>
        <v/>
      </c>
      <c r="E125" s="20"/>
      <c r="F125" s="21"/>
      <c r="G125" s="18" t="str">
        <f aca="false">IF(B125="","",INT((B125-MIN($B$5:$B$304))/7)+1)</f>
        <v/>
      </c>
      <c r="H125" s="18" t="str">
        <f aca="false">IF(OR(C125="",E125=""),"",IF(E125=3,MAX(1,C125-2),IF(E125=2,MAX(1,C125-1),IF(AND(C124=C125,C123=C125,E124&lt;&gt;"",E123&lt;&gt;"",E124&lt;=1,E123&lt;=1),MIN(20,C125+1),C125))))</f>
        <v/>
      </c>
      <c r="I125" s="22" t="str">
        <f aca="false">IF(H125="","",IF(H125&gt;C125,"Suba para o degrau "&amp;H125&amp;" ("&amp;INDEX(Degraus!$B$5:$B$24,H125)&amp;")",IF(H125&lt;C125,"Desça para o degrau "&amp;H125&amp;" ("&amp;INDEX(Degraus!$B$5:$B$24,H125)&amp;")","Repita o degrau "&amp;C125&amp;" até 3 sessões calmas seguidas")))</f>
        <v/>
      </c>
    </row>
    <row r="126" customFormat="false" ht="15" hidden="false" customHeight="false" outlineLevel="0" collapsed="false">
      <c r="A126" s="18" t="str">
        <f aca="false">IF(B126="","",ROW()-4)</f>
        <v/>
      </c>
      <c r="B126" s="19"/>
      <c r="C126" s="20"/>
      <c r="D126" s="18" t="str">
        <f aca="false">IF(C126="","",INDEX(Degraus!$B$5:$B$24,C126))</f>
        <v/>
      </c>
      <c r="E126" s="20"/>
      <c r="F126" s="21"/>
      <c r="G126" s="18" t="str">
        <f aca="false">IF(B126="","",INT((B126-MIN($B$5:$B$304))/7)+1)</f>
        <v/>
      </c>
      <c r="H126" s="18" t="str">
        <f aca="false">IF(OR(C126="",E126=""),"",IF(E126=3,MAX(1,C126-2),IF(E126=2,MAX(1,C126-1),IF(AND(C125=C126,C124=C126,E125&lt;&gt;"",E124&lt;&gt;"",E125&lt;=1,E124&lt;=1),MIN(20,C126+1),C126))))</f>
        <v/>
      </c>
      <c r="I126" s="22" t="str">
        <f aca="false">IF(H126="","",IF(H126&gt;C126,"Suba para o degrau "&amp;H126&amp;" ("&amp;INDEX(Degraus!$B$5:$B$24,H126)&amp;")",IF(H126&lt;C126,"Desça para o degrau "&amp;H126&amp;" ("&amp;INDEX(Degraus!$B$5:$B$24,H126)&amp;")","Repita o degrau "&amp;C126&amp;" até 3 sessões calmas seguidas")))</f>
        <v/>
      </c>
    </row>
    <row r="127" customFormat="false" ht="15" hidden="false" customHeight="false" outlineLevel="0" collapsed="false">
      <c r="A127" s="18" t="str">
        <f aca="false">IF(B127="","",ROW()-4)</f>
        <v/>
      </c>
      <c r="B127" s="19"/>
      <c r="C127" s="20"/>
      <c r="D127" s="18" t="str">
        <f aca="false">IF(C127="","",INDEX(Degraus!$B$5:$B$24,C127))</f>
        <v/>
      </c>
      <c r="E127" s="20"/>
      <c r="F127" s="21"/>
      <c r="G127" s="18" t="str">
        <f aca="false">IF(B127="","",INT((B127-MIN($B$5:$B$304))/7)+1)</f>
        <v/>
      </c>
      <c r="H127" s="18" t="str">
        <f aca="false">IF(OR(C127="",E127=""),"",IF(E127=3,MAX(1,C127-2),IF(E127=2,MAX(1,C127-1),IF(AND(C126=C127,C125=C127,E126&lt;&gt;"",E125&lt;&gt;"",E126&lt;=1,E125&lt;=1),MIN(20,C127+1),C127))))</f>
        <v/>
      </c>
      <c r="I127" s="22" t="str">
        <f aca="false">IF(H127="","",IF(H127&gt;C127,"Suba para o degrau "&amp;H127&amp;" ("&amp;INDEX(Degraus!$B$5:$B$24,H127)&amp;")",IF(H127&lt;C127,"Desça para o degrau "&amp;H127&amp;" ("&amp;INDEX(Degraus!$B$5:$B$24,H127)&amp;")","Repita o degrau "&amp;C127&amp;" até 3 sessões calmas seguidas")))</f>
        <v/>
      </c>
    </row>
    <row r="128" customFormat="false" ht="15" hidden="false" customHeight="false" outlineLevel="0" collapsed="false">
      <c r="A128" s="18" t="str">
        <f aca="false">IF(B128="","",ROW()-4)</f>
        <v/>
      </c>
      <c r="B128" s="19"/>
      <c r="C128" s="20"/>
      <c r="D128" s="18" t="str">
        <f aca="false">IF(C128="","",INDEX(Degraus!$B$5:$B$24,C128))</f>
        <v/>
      </c>
      <c r="E128" s="20"/>
      <c r="F128" s="21"/>
      <c r="G128" s="18" t="str">
        <f aca="false">IF(B128="","",INT((B128-MIN($B$5:$B$304))/7)+1)</f>
        <v/>
      </c>
      <c r="H128" s="18" t="str">
        <f aca="false">IF(OR(C128="",E128=""),"",IF(E128=3,MAX(1,C128-2),IF(E128=2,MAX(1,C128-1),IF(AND(C127=C128,C126=C128,E127&lt;&gt;"",E126&lt;&gt;"",E127&lt;=1,E126&lt;=1),MIN(20,C128+1),C128))))</f>
        <v/>
      </c>
      <c r="I128" s="22" t="str">
        <f aca="false">IF(H128="","",IF(H128&gt;C128,"Suba para o degrau "&amp;H128&amp;" ("&amp;INDEX(Degraus!$B$5:$B$24,H128)&amp;")",IF(H128&lt;C128,"Desça para o degrau "&amp;H128&amp;" ("&amp;INDEX(Degraus!$B$5:$B$24,H128)&amp;")","Repita o degrau "&amp;C128&amp;" até 3 sessões calmas seguidas")))</f>
        <v/>
      </c>
    </row>
    <row r="129" customFormat="false" ht="15" hidden="false" customHeight="false" outlineLevel="0" collapsed="false">
      <c r="A129" s="18" t="str">
        <f aca="false">IF(B129="","",ROW()-4)</f>
        <v/>
      </c>
      <c r="B129" s="19"/>
      <c r="C129" s="20"/>
      <c r="D129" s="18" t="str">
        <f aca="false">IF(C129="","",INDEX(Degraus!$B$5:$B$24,C129))</f>
        <v/>
      </c>
      <c r="E129" s="20"/>
      <c r="F129" s="21"/>
      <c r="G129" s="18" t="str">
        <f aca="false">IF(B129="","",INT((B129-MIN($B$5:$B$304))/7)+1)</f>
        <v/>
      </c>
      <c r="H129" s="18" t="str">
        <f aca="false">IF(OR(C129="",E129=""),"",IF(E129=3,MAX(1,C129-2),IF(E129=2,MAX(1,C129-1),IF(AND(C128=C129,C127=C129,E128&lt;&gt;"",E127&lt;&gt;"",E128&lt;=1,E127&lt;=1),MIN(20,C129+1),C129))))</f>
        <v/>
      </c>
      <c r="I129" s="22" t="str">
        <f aca="false">IF(H129="","",IF(H129&gt;C129,"Suba para o degrau "&amp;H129&amp;" ("&amp;INDEX(Degraus!$B$5:$B$24,H129)&amp;")",IF(H129&lt;C129,"Desça para o degrau "&amp;H129&amp;" ("&amp;INDEX(Degraus!$B$5:$B$24,H129)&amp;")","Repita o degrau "&amp;C129&amp;" até 3 sessões calmas seguidas")))</f>
        <v/>
      </c>
    </row>
    <row r="130" customFormat="false" ht="15" hidden="false" customHeight="false" outlineLevel="0" collapsed="false">
      <c r="A130" s="18" t="str">
        <f aca="false">IF(B130="","",ROW()-4)</f>
        <v/>
      </c>
      <c r="B130" s="19"/>
      <c r="C130" s="20"/>
      <c r="D130" s="18" t="str">
        <f aca="false">IF(C130="","",INDEX(Degraus!$B$5:$B$24,C130))</f>
        <v/>
      </c>
      <c r="E130" s="20"/>
      <c r="F130" s="21"/>
      <c r="G130" s="18" t="str">
        <f aca="false">IF(B130="","",INT((B130-MIN($B$5:$B$304))/7)+1)</f>
        <v/>
      </c>
      <c r="H130" s="18" t="str">
        <f aca="false">IF(OR(C130="",E130=""),"",IF(E130=3,MAX(1,C130-2),IF(E130=2,MAX(1,C130-1),IF(AND(C129=C130,C128=C130,E129&lt;&gt;"",E128&lt;&gt;"",E129&lt;=1,E128&lt;=1),MIN(20,C130+1),C130))))</f>
        <v/>
      </c>
      <c r="I130" s="22" t="str">
        <f aca="false">IF(H130="","",IF(H130&gt;C130,"Suba para o degrau "&amp;H130&amp;" ("&amp;INDEX(Degraus!$B$5:$B$24,H130)&amp;")",IF(H130&lt;C130,"Desça para o degrau "&amp;H130&amp;" ("&amp;INDEX(Degraus!$B$5:$B$24,H130)&amp;")","Repita o degrau "&amp;C130&amp;" até 3 sessões calmas seguidas")))</f>
        <v/>
      </c>
    </row>
    <row r="131" customFormat="false" ht="15" hidden="false" customHeight="false" outlineLevel="0" collapsed="false">
      <c r="A131" s="18" t="str">
        <f aca="false">IF(B131="","",ROW()-4)</f>
        <v/>
      </c>
      <c r="B131" s="19"/>
      <c r="C131" s="20"/>
      <c r="D131" s="18" t="str">
        <f aca="false">IF(C131="","",INDEX(Degraus!$B$5:$B$24,C131))</f>
        <v/>
      </c>
      <c r="E131" s="20"/>
      <c r="F131" s="21"/>
      <c r="G131" s="18" t="str">
        <f aca="false">IF(B131="","",INT((B131-MIN($B$5:$B$304))/7)+1)</f>
        <v/>
      </c>
      <c r="H131" s="18" t="str">
        <f aca="false">IF(OR(C131="",E131=""),"",IF(E131=3,MAX(1,C131-2),IF(E131=2,MAX(1,C131-1),IF(AND(C130=C131,C129=C131,E130&lt;&gt;"",E129&lt;&gt;"",E130&lt;=1,E129&lt;=1),MIN(20,C131+1),C131))))</f>
        <v/>
      </c>
      <c r="I131" s="22" t="str">
        <f aca="false">IF(H131="","",IF(H131&gt;C131,"Suba para o degrau "&amp;H131&amp;" ("&amp;INDEX(Degraus!$B$5:$B$24,H131)&amp;")",IF(H131&lt;C131,"Desça para o degrau "&amp;H131&amp;" ("&amp;INDEX(Degraus!$B$5:$B$24,H131)&amp;")","Repita o degrau "&amp;C131&amp;" até 3 sessões calmas seguidas")))</f>
        <v/>
      </c>
    </row>
    <row r="132" customFormat="false" ht="15" hidden="false" customHeight="false" outlineLevel="0" collapsed="false">
      <c r="A132" s="18" t="str">
        <f aca="false">IF(B132="","",ROW()-4)</f>
        <v/>
      </c>
      <c r="B132" s="19"/>
      <c r="C132" s="20"/>
      <c r="D132" s="18" t="str">
        <f aca="false">IF(C132="","",INDEX(Degraus!$B$5:$B$24,C132))</f>
        <v/>
      </c>
      <c r="E132" s="20"/>
      <c r="F132" s="21"/>
      <c r="G132" s="18" t="str">
        <f aca="false">IF(B132="","",INT((B132-MIN($B$5:$B$304))/7)+1)</f>
        <v/>
      </c>
      <c r="H132" s="18" t="str">
        <f aca="false">IF(OR(C132="",E132=""),"",IF(E132=3,MAX(1,C132-2),IF(E132=2,MAX(1,C132-1),IF(AND(C131=C132,C130=C132,E131&lt;&gt;"",E130&lt;&gt;"",E131&lt;=1,E130&lt;=1),MIN(20,C132+1),C132))))</f>
        <v/>
      </c>
      <c r="I132" s="22" t="str">
        <f aca="false">IF(H132="","",IF(H132&gt;C132,"Suba para o degrau "&amp;H132&amp;" ("&amp;INDEX(Degraus!$B$5:$B$24,H132)&amp;")",IF(H132&lt;C132,"Desça para o degrau "&amp;H132&amp;" ("&amp;INDEX(Degraus!$B$5:$B$24,H132)&amp;")","Repita o degrau "&amp;C132&amp;" até 3 sessões calmas seguidas")))</f>
        <v/>
      </c>
    </row>
    <row r="133" customFormat="false" ht="15" hidden="false" customHeight="false" outlineLevel="0" collapsed="false">
      <c r="A133" s="18" t="str">
        <f aca="false">IF(B133="","",ROW()-4)</f>
        <v/>
      </c>
      <c r="B133" s="19"/>
      <c r="C133" s="20"/>
      <c r="D133" s="18" t="str">
        <f aca="false">IF(C133="","",INDEX(Degraus!$B$5:$B$24,C133))</f>
        <v/>
      </c>
      <c r="E133" s="20"/>
      <c r="F133" s="21"/>
      <c r="G133" s="18" t="str">
        <f aca="false">IF(B133="","",INT((B133-MIN($B$5:$B$304))/7)+1)</f>
        <v/>
      </c>
      <c r="H133" s="18" t="str">
        <f aca="false">IF(OR(C133="",E133=""),"",IF(E133=3,MAX(1,C133-2),IF(E133=2,MAX(1,C133-1),IF(AND(C132=C133,C131=C133,E132&lt;&gt;"",E131&lt;&gt;"",E132&lt;=1,E131&lt;=1),MIN(20,C133+1),C133))))</f>
        <v/>
      </c>
      <c r="I133" s="22" t="str">
        <f aca="false">IF(H133="","",IF(H133&gt;C133,"Suba para o degrau "&amp;H133&amp;" ("&amp;INDEX(Degraus!$B$5:$B$24,H133)&amp;")",IF(H133&lt;C133,"Desça para o degrau "&amp;H133&amp;" ("&amp;INDEX(Degraus!$B$5:$B$24,H133)&amp;")","Repita o degrau "&amp;C133&amp;" até 3 sessões calmas seguidas")))</f>
        <v/>
      </c>
    </row>
    <row r="134" customFormat="false" ht="15" hidden="false" customHeight="false" outlineLevel="0" collapsed="false">
      <c r="A134" s="18" t="str">
        <f aca="false">IF(B134="","",ROW()-4)</f>
        <v/>
      </c>
      <c r="B134" s="19"/>
      <c r="C134" s="20"/>
      <c r="D134" s="18" t="str">
        <f aca="false">IF(C134="","",INDEX(Degraus!$B$5:$B$24,C134))</f>
        <v/>
      </c>
      <c r="E134" s="20"/>
      <c r="F134" s="21"/>
      <c r="G134" s="18" t="str">
        <f aca="false">IF(B134="","",INT((B134-MIN($B$5:$B$304))/7)+1)</f>
        <v/>
      </c>
      <c r="H134" s="18" t="str">
        <f aca="false">IF(OR(C134="",E134=""),"",IF(E134=3,MAX(1,C134-2),IF(E134=2,MAX(1,C134-1),IF(AND(C133=C134,C132=C134,E133&lt;&gt;"",E132&lt;&gt;"",E133&lt;=1,E132&lt;=1),MIN(20,C134+1),C134))))</f>
        <v/>
      </c>
      <c r="I134" s="22" t="str">
        <f aca="false">IF(H134="","",IF(H134&gt;C134,"Suba para o degrau "&amp;H134&amp;" ("&amp;INDEX(Degraus!$B$5:$B$24,H134)&amp;")",IF(H134&lt;C134,"Desça para o degrau "&amp;H134&amp;" ("&amp;INDEX(Degraus!$B$5:$B$24,H134)&amp;")","Repita o degrau "&amp;C134&amp;" até 3 sessões calmas seguidas")))</f>
        <v/>
      </c>
    </row>
    <row r="135" customFormat="false" ht="15" hidden="false" customHeight="false" outlineLevel="0" collapsed="false">
      <c r="A135" s="18" t="str">
        <f aca="false">IF(B135="","",ROW()-4)</f>
        <v/>
      </c>
      <c r="B135" s="19"/>
      <c r="C135" s="20"/>
      <c r="D135" s="18" t="str">
        <f aca="false">IF(C135="","",INDEX(Degraus!$B$5:$B$24,C135))</f>
        <v/>
      </c>
      <c r="E135" s="20"/>
      <c r="F135" s="21"/>
      <c r="G135" s="18" t="str">
        <f aca="false">IF(B135="","",INT((B135-MIN($B$5:$B$304))/7)+1)</f>
        <v/>
      </c>
      <c r="H135" s="18" t="str">
        <f aca="false">IF(OR(C135="",E135=""),"",IF(E135=3,MAX(1,C135-2),IF(E135=2,MAX(1,C135-1),IF(AND(C134=C135,C133=C135,E134&lt;&gt;"",E133&lt;&gt;"",E134&lt;=1,E133&lt;=1),MIN(20,C135+1),C135))))</f>
        <v/>
      </c>
      <c r="I135" s="22" t="str">
        <f aca="false">IF(H135="","",IF(H135&gt;C135,"Suba para o degrau "&amp;H135&amp;" ("&amp;INDEX(Degraus!$B$5:$B$24,H135)&amp;")",IF(H135&lt;C135,"Desça para o degrau "&amp;H135&amp;" ("&amp;INDEX(Degraus!$B$5:$B$24,H135)&amp;")","Repita o degrau "&amp;C135&amp;" até 3 sessões calmas seguidas")))</f>
        <v/>
      </c>
    </row>
    <row r="136" customFormat="false" ht="15" hidden="false" customHeight="false" outlineLevel="0" collapsed="false">
      <c r="A136" s="18" t="str">
        <f aca="false">IF(B136="","",ROW()-4)</f>
        <v/>
      </c>
      <c r="B136" s="19"/>
      <c r="C136" s="20"/>
      <c r="D136" s="18" t="str">
        <f aca="false">IF(C136="","",INDEX(Degraus!$B$5:$B$24,C136))</f>
        <v/>
      </c>
      <c r="E136" s="20"/>
      <c r="F136" s="21"/>
      <c r="G136" s="18" t="str">
        <f aca="false">IF(B136="","",INT((B136-MIN($B$5:$B$304))/7)+1)</f>
        <v/>
      </c>
      <c r="H136" s="18" t="str">
        <f aca="false">IF(OR(C136="",E136=""),"",IF(E136=3,MAX(1,C136-2),IF(E136=2,MAX(1,C136-1),IF(AND(C135=C136,C134=C136,E135&lt;&gt;"",E134&lt;&gt;"",E135&lt;=1,E134&lt;=1),MIN(20,C136+1),C136))))</f>
        <v/>
      </c>
      <c r="I136" s="22" t="str">
        <f aca="false">IF(H136="","",IF(H136&gt;C136,"Suba para o degrau "&amp;H136&amp;" ("&amp;INDEX(Degraus!$B$5:$B$24,H136)&amp;")",IF(H136&lt;C136,"Desça para o degrau "&amp;H136&amp;" ("&amp;INDEX(Degraus!$B$5:$B$24,H136)&amp;")","Repita o degrau "&amp;C136&amp;" até 3 sessões calmas seguidas")))</f>
        <v/>
      </c>
    </row>
    <row r="137" customFormat="false" ht="15" hidden="false" customHeight="false" outlineLevel="0" collapsed="false">
      <c r="A137" s="18" t="str">
        <f aca="false">IF(B137="","",ROW()-4)</f>
        <v/>
      </c>
      <c r="B137" s="19"/>
      <c r="C137" s="20"/>
      <c r="D137" s="18" t="str">
        <f aca="false">IF(C137="","",INDEX(Degraus!$B$5:$B$24,C137))</f>
        <v/>
      </c>
      <c r="E137" s="20"/>
      <c r="F137" s="21"/>
      <c r="G137" s="18" t="str">
        <f aca="false">IF(B137="","",INT((B137-MIN($B$5:$B$304))/7)+1)</f>
        <v/>
      </c>
      <c r="H137" s="18" t="str">
        <f aca="false">IF(OR(C137="",E137=""),"",IF(E137=3,MAX(1,C137-2),IF(E137=2,MAX(1,C137-1),IF(AND(C136=C137,C135=C137,E136&lt;&gt;"",E135&lt;&gt;"",E136&lt;=1,E135&lt;=1),MIN(20,C137+1),C137))))</f>
        <v/>
      </c>
      <c r="I137" s="22" t="str">
        <f aca="false">IF(H137="","",IF(H137&gt;C137,"Suba para o degrau "&amp;H137&amp;" ("&amp;INDEX(Degraus!$B$5:$B$24,H137)&amp;")",IF(H137&lt;C137,"Desça para o degrau "&amp;H137&amp;" ("&amp;INDEX(Degraus!$B$5:$B$24,H137)&amp;")","Repita o degrau "&amp;C137&amp;" até 3 sessões calmas seguidas")))</f>
        <v/>
      </c>
    </row>
    <row r="138" customFormat="false" ht="15" hidden="false" customHeight="false" outlineLevel="0" collapsed="false">
      <c r="A138" s="18" t="str">
        <f aca="false">IF(B138="","",ROW()-4)</f>
        <v/>
      </c>
      <c r="B138" s="19"/>
      <c r="C138" s="20"/>
      <c r="D138" s="18" t="str">
        <f aca="false">IF(C138="","",INDEX(Degraus!$B$5:$B$24,C138))</f>
        <v/>
      </c>
      <c r="E138" s="20"/>
      <c r="F138" s="21"/>
      <c r="G138" s="18" t="str">
        <f aca="false">IF(B138="","",INT((B138-MIN($B$5:$B$304))/7)+1)</f>
        <v/>
      </c>
      <c r="H138" s="18" t="str">
        <f aca="false">IF(OR(C138="",E138=""),"",IF(E138=3,MAX(1,C138-2),IF(E138=2,MAX(1,C138-1),IF(AND(C137=C138,C136=C138,E137&lt;&gt;"",E136&lt;&gt;"",E137&lt;=1,E136&lt;=1),MIN(20,C138+1),C138))))</f>
        <v/>
      </c>
      <c r="I138" s="22" t="str">
        <f aca="false">IF(H138="","",IF(H138&gt;C138,"Suba para o degrau "&amp;H138&amp;" ("&amp;INDEX(Degraus!$B$5:$B$24,H138)&amp;")",IF(H138&lt;C138,"Desça para o degrau "&amp;H138&amp;" ("&amp;INDEX(Degraus!$B$5:$B$24,H138)&amp;")","Repita o degrau "&amp;C138&amp;" até 3 sessões calmas seguidas")))</f>
        <v/>
      </c>
    </row>
    <row r="139" customFormat="false" ht="15" hidden="false" customHeight="false" outlineLevel="0" collapsed="false">
      <c r="A139" s="18" t="str">
        <f aca="false">IF(B139="","",ROW()-4)</f>
        <v/>
      </c>
      <c r="B139" s="19"/>
      <c r="C139" s="20"/>
      <c r="D139" s="18" t="str">
        <f aca="false">IF(C139="","",INDEX(Degraus!$B$5:$B$24,C139))</f>
        <v/>
      </c>
      <c r="E139" s="20"/>
      <c r="F139" s="21"/>
      <c r="G139" s="18" t="str">
        <f aca="false">IF(B139="","",INT((B139-MIN($B$5:$B$304))/7)+1)</f>
        <v/>
      </c>
      <c r="H139" s="18" t="str">
        <f aca="false">IF(OR(C139="",E139=""),"",IF(E139=3,MAX(1,C139-2),IF(E139=2,MAX(1,C139-1),IF(AND(C138=C139,C137=C139,E138&lt;&gt;"",E137&lt;&gt;"",E138&lt;=1,E137&lt;=1),MIN(20,C139+1),C139))))</f>
        <v/>
      </c>
      <c r="I139" s="22" t="str">
        <f aca="false">IF(H139="","",IF(H139&gt;C139,"Suba para o degrau "&amp;H139&amp;" ("&amp;INDEX(Degraus!$B$5:$B$24,H139)&amp;")",IF(H139&lt;C139,"Desça para o degrau "&amp;H139&amp;" ("&amp;INDEX(Degraus!$B$5:$B$24,H139)&amp;")","Repita o degrau "&amp;C139&amp;" até 3 sessões calmas seguidas")))</f>
        <v/>
      </c>
    </row>
    <row r="140" customFormat="false" ht="15" hidden="false" customHeight="false" outlineLevel="0" collapsed="false">
      <c r="A140" s="18" t="str">
        <f aca="false">IF(B140="","",ROW()-4)</f>
        <v/>
      </c>
      <c r="B140" s="19"/>
      <c r="C140" s="20"/>
      <c r="D140" s="18" t="str">
        <f aca="false">IF(C140="","",INDEX(Degraus!$B$5:$B$24,C140))</f>
        <v/>
      </c>
      <c r="E140" s="20"/>
      <c r="F140" s="21"/>
      <c r="G140" s="18" t="str">
        <f aca="false">IF(B140="","",INT((B140-MIN($B$5:$B$304))/7)+1)</f>
        <v/>
      </c>
      <c r="H140" s="18" t="str">
        <f aca="false">IF(OR(C140="",E140=""),"",IF(E140=3,MAX(1,C140-2),IF(E140=2,MAX(1,C140-1),IF(AND(C139=C140,C138=C140,E139&lt;&gt;"",E138&lt;&gt;"",E139&lt;=1,E138&lt;=1),MIN(20,C140+1),C140))))</f>
        <v/>
      </c>
      <c r="I140" s="22" t="str">
        <f aca="false">IF(H140="","",IF(H140&gt;C140,"Suba para o degrau "&amp;H140&amp;" ("&amp;INDEX(Degraus!$B$5:$B$24,H140)&amp;")",IF(H140&lt;C140,"Desça para o degrau "&amp;H140&amp;" ("&amp;INDEX(Degraus!$B$5:$B$24,H140)&amp;")","Repita o degrau "&amp;C140&amp;" até 3 sessões calmas seguidas")))</f>
        <v/>
      </c>
    </row>
    <row r="141" customFormat="false" ht="15" hidden="false" customHeight="false" outlineLevel="0" collapsed="false">
      <c r="A141" s="18" t="str">
        <f aca="false">IF(B141="","",ROW()-4)</f>
        <v/>
      </c>
      <c r="B141" s="19"/>
      <c r="C141" s="20"/>
      <c r="D141" s="18" t="str">
        <f aca="false">IF(C141="","",INDEX(Degraus!$B$5:$B$24,C141))</f>
        <v/>
      </c>
      <c r="E141" s="20"/>
      <c r="F141" s="21"/>
      <c r="G141" s="18" t="str">
        <f aca="false">IF(B141="","",INT((B141-MIN($B$5:$B$304))/7)+1)</f>
        <v/>
      </c>
      <c r="H141" s="18" t="str">
        <f aca="false">IF(OR(C141="",E141=""),"",IF(E141=3,MAX(1,C141-2),IF(E141=2,MAX(1,C141-1),IF(AND(C140=C141,C139=C141,E140&lt;&gt;"",E139&lt;&gt;"",E140&lt;=1,E139&lt;=1),MIN(20,C141+1),C141))))</f>
        <v/>
      </c>
      <c r="I141" s="22" t="str">
        <f aca="false">IF(H141="","",IF(H141&gt;C141,"Suba para o degrau "&amp;H141&amp;" ("&amp;INDEX(Degraus!$B$5:$B$24,H141)&amp;")",IF(H141&lt;C141,"Desça para o degrau "&amp;H141&amp;" ("&amp;INDEX(Degraus!$B$5:$B$24,H141)&amp;")","Repita o degrau "&amp;C141&amp;" até 3 sessões calmas seguidas")))</f>
        <v/>
      </c>
    </row>
    <row r="142" customFormat="false" ht="15" hidden="false" customHeight="false" outlineLevel="0" collapsed="false">
      <c r="A142" s="18" t="str">
        <f aca="false">IF(B142="","",ROW()-4)</f>
        <v/>
      </c>
      <c r="B142" s="19"/>
      <c r="C142" s="20"/>
      <c r="D142" s="18" t="str">
        <f aca="false">IF(C142="","",INDEX(Degraus!$B$5:$B$24,C142))</f>
        <v/>
      </c>
      <c r="E142" s="20"/>
      <c r="F142" s="21"/>
      <c r="G142" s="18" t="str">
        <f aca="false">IF(B142="","",INT((B142-MIN($B$5:$B$304))/7)+1)</f>
        <v/>
      </c>
      <c r="H142" s="18" t="str">
        <f aca="false">IF(OR(C142="",E142=""),"",IF(E142=3,MAX(1,C142-2),IF(E142=2,MAX(1,C142-1),IF(AND(C141=C142,C140=C142,E141&lt;&gt;"",E140&lt;&gt;"",E141&lt;=1,E140&lt;=1),MIN(20,C142+1),C142))))</f>
        <v/>
      </c>
      <c r="I142" s="22" t="str">
        <f aca="false">IF(H142="","",IF(H142&gt;C142,"Suba para o degrau "&amp;H142&amp;" ("&amp;INDEX(Degraus!$B$5:$B$24,H142)&amp;")",IF(H142&lt;C142,"Desça para o degrau "&amp;H142&amp;" ("&amp;INDEX(Degraus!$B$5:$B$24,H142)&amp;")","Repita o degrau "&amp;C142&amp;" até 3 sessões calmas seguidas")))</f>
        <v/>
      </c>
    </row>
    <row r="143" customFormat="false" ht="15" hidden="false" customHeight="false" outlineLevel="0" collapsed="false">
      <c r="A143" s="18" t="str">
        <f aca="false">IF(B143="","",ROW()-4)</f>
        <v/>
      </c>
      <c r="B143" s="19"/>
      <c r="C143" s="20"/>
      <c r="D143" s="18" t="str">
        <f aca="false">IF(C143="","",INDEX(Degraus!$B$5:$B$24,C143))</f>
        <v/>
      </c>
      <c r="E143" s="20"/>
      <c r="F143" s="21"/>
      <c r="G143" s="18" t="str">
        <f aca="false">IF(B143="","",INT((B143-MIN($B$5:$B$304))/7)+1)</f>
        <v/>
      </c>
      <c r="H143" s="18" t="str">
        <f aca="false">IF(OR(C143="",E143=""),"",IF(E143=3,MAX(1,C143-2),IF(E143=2,MAX(1,C143-1),IF(AND(C142=C143,C141=C143,E142&lt;&gt;"",E141&lt;&gt;"",E142&lt;=1,E141&lt;=1),MIN(20,C143+1),C143))))</f>
        <v/>
      </c>
      <c r="I143" s="22" t="str">
        <f aca="false">IF(H143="","",IF(H143&gt;C143,"Suba para o degrau "&amp;H143&amp;" ("&amp;INDEX(Degraus!$B$5:$B$24,H143)&amp;")",IF(H143&lt;C143,"Desça para o degrau "&amp;H143&amp;" ("&amp;INDEX(Degraus!$B$5:$B$24,H143)&amp;")","Repita o degrau "&amp;C143&amp;" até 3 sessões calmas seguidas")))</f>
        <v/>
      </c>
    </row>
    <row r="144" customFormat="false" ht="15" hidden="false" customHeight="false" outlineLevel="0" collapsed="false">
      <c r="A144" s="18" t="str">
        <f aca="false">IF(B144="","",ROW()-4)</f>
        <v/>
      </c>
      <c r="B144" s="19"/>
      <c r="C144" s="20"/>
      <c r="D144" s="18" t="str">
        <f aca="false">IF(C144="","",INDEX(Degraus!$B$5:$B$24,C144))</f>
        <v/>
      </c>
      <c r="E144" s="20"/>
      <c r="F144" s="21"/>
      <c r="G144" s="18" t="str">
        <f aca="false">IF(B144="","",INT((B144-MIN($B$5:$B$304))/7)+1)</f>
        <v/>
      </c>
      <c r="H144" s="18" t="str">
        <f aca="false">IF(OR(C144="",E144=""),"",IF(E144=3,MAX(1,C144-2),IF(E144=2,MAX(1,C144-1),IF(AND(C143=C144,C142=C144,E143&lt;&gt;"",E142&lt;&gt;"",E143&lt;=1,E142&lt;=1),MIN(20,C144+1),C144))))</f>
        <v/>
      </c>
      <c r="I144" s="22" t="str">
        <f aca="false">IF(H144="","",IF(H144&gt;C144,"Suba para o degrau "&amp;H144&amp;" ("&amp;INDEX(Degraus!$B$5:$B$24,H144)&amp;")",IF(H144&lt;C144,"Desça para o degrau "&amp;H144&amp;" ("&amp;INDEX(Degraus!$B$5:$B$24,H144)&amp;")","Repita o degrau "&amp;C144&amp;" até 3 sessões calmas seguidas")))</f>
        <v/>
      </c>
    </row>
    <row r="145" customFormat="false" ht="15" hidden="false" customHeight="false" outlineLevel="0" collapsed="false">
      <c r="A145" s="18" t="str">
        <f aca="false">IF(B145="","",ROW()-4)</f>
        <v/>
      </c>
      <c r="B145" s="19"/>
      <c r="C145" s="20"/>
      <c r="D145" s="18" t="str">
        <f aca="false">IF(C145="","",INDEX(Degraus!$B$5:$B$24,C145))</f>
        <v/>
      </c>
      <c r="E145" s="20"/>
      <c r="F145" s="21"/>
      <c r="G145" s="18" t="str">
        <f aca="false">IF(B145="","",INT((B145-MIN($B$5:$B$304))/7)+1)</f>
        <v/>
      </c>
      <c r="H145" s="18" t="str">
        <f aca="false">IF(OR(C145="",E145=""),"",IF(E145=3,MAX(1,C145-2),IF(E145=2,MAX(1,C145-1),IF(AND(C144=C145,C143=C145,E144&lt;&gt;"",E143&lt;&gt;"",E144&lt;=1,E143&lt;=1),MIN(20,C145+1),C145))))</f>
        <v/>
      </c>
      <c r="I145" s="22" t="str">
        <f aca="false">IF(H145="","",IF(H145&gt;C145,"Suba para o degrau "&amp;H145&amp;" ("&amp;INDEX(Degraus!$B$5:$B$24,H145)&amp;")",IF(H145&lt;C145,"Desça para o degrau "&amp;H145&amp;" ("&amp;INDEX(Degraus!$B$5:$B$24,H145)&amp;")","Repita o degrau "&amp;C145&amp;" até 3 sessões calmas seguidas")))</f>
        <v/>
      </c>
    </row>
    <row r="146" customFormat="false" ht="15" hidden="false" customHeight="false" outlineLevel="0" collapsed="false">
      <c r="A146" s="18" t="str">
        <f aca="false">IF(B146="","",ROW()-4)</f>
        <v/>
      </c>
      <c r="B146" s="19"/>
      <c r="C146" s="20"/>
      <c r="D146" s="18" t="str">
        <f aca="false">IF(C146="","",INDEX(Degraus!$B$5:$B$24,C146))</f>
        <v/>
      </c>
      <c r="E146" s="20"/>
      <c r="F146" s="21"/>
      <c r="G146" s="18" t="str">
        <f aca="false">IF(B146="","",INT((B146-MIN($B$5:$B$304))/7)+1)</f>
        <v/>
      </c>
      <c r="H146" s="18" t="str">
        <f aca="false">IF(OR(C146="",E146=""),"",IF(E146=3,MAX(1,C146-2),IF(E146=2,MAX(1,C146-1),IF(AND(C145=C146,C144=C146,E145&lt;&gt;"",E144&lt;&gt;"",E145&lt;=1,E144&lt;=1),MIN(20,C146+1),C146))))</f>
        <v/>
      </c>
      <c r="I146" s="22" t="str">
        <f aca="false">IF(H146="","",IF(H146&gt;C146,"Suba para o degrau "&amp;H146&amp;" ("&amp;INDEX(Degraus!$B$5:$B$24,H146)&amp;")",IF(H146&lt;C146,"Desça para o degrau "&amp;H146&amp;" ("&amp;INDEX(Degraus!$B$5:$B$24,H146)&amp;")","Repita o degrau "&amp;C146&amp;" até 3 sessões calmas seguidas")))</f>
        <v/>
      </c>
    </row>
    <row r="147" customFormat="false" ht="15" hidden="false" customHeight="false" outlineLevel="0" collapsed="false">
      <c r="A147" s="18" t="str">
        <f aca="false">IF(B147="","",ROW()-4)</f>
        <v/>
      </c>
      <c r="B147" s="19"/>
      <c r="C147" s="20"/>
      <c r="D147" s="18" t="str">
        <f aca="false">IF(C147="","",INDEX(Degraus!$B$5:$B$24,C147))</f>
        <v/>
      </c>
      <c r="E147" s="20"/>
      <c r="F147" s="21"/>
      <c r="G147" s="18" t="str">
        <f aca="false">IF(B147="","",INT((B147-MIN($B$5:$B$304))/7)+1)</f>
        <v/>
      </c>
      <c r="H147" s="18" t="str">
        <f aca="false">IF(OR(C147="",E147=""),"",IF(E147=3,MAX(1,C147-2),IF(E147=2,MAX(1,C147-1),IF(AND(C146=C147,C145=C147,E146&lt;&gt;"",E145&lt;&gt;"",E146&lt;=1,E145&lt;=1),MIN(20,C147+1),C147))))</f>
        <v/>
      </c>
      <c r="I147" s="22" t="str">
        <f aca="false">IF(H147="","",IF(H147&gt;C147,"Suba para o degrau "&amp;H147&amp;" ("&amp;INDEX(Degraus!$B$5:$B$24,H147)&amp;")",IF(H147&lt;C147,"Desça para o degrau "&amp;H147&amp;" ("&amp;INDEX(Degraus!$B$5:$B$24,H147)&amp;")","Repita o degrau "&amp;C147&amp;" até 3 sessões calmas seguidas")))</f>
        <v/>
      </c>
    </row>
    <row r="148" customFormat="false" ht="15" hidden="false" customHeight="false" outlineLevel="0" collapsed="false">
      <c r="A148" s="18" t="str">
        <f aca="false">IF(B148="","",ROW()-4)</f>
        <v/>
      </c>
      <c r="B148" s="19"/>
      <c r="C148" s="20"/>
      <c r="D148" s="18" t="str">
        <f aca="false">IF(C148="","",INDEX(Degraus!$B$5:$B$24,C148))</f>
        <v/>
      </c>
      <c r="E148" s="20"/>
      <c r="F148" s="21"/>
      <c r="G148" s="18" t="str">
        <f aca="false">IF(B148="","",INT((B148-MIN($B$5:$B$304))/7)+1)</f>
        <v/>
      </c>
      <c r="H148" s="18" t="str">
        <f aca="false">IF(OR(C148="",E148=""),"",IF(E148=3,MAX(1,C148-2),IF(E148=2,MAX(1,C148-1),IF(AND(C147=C148,C146=C148,E147&lt;&gt;"",E146&lt;&gt;"",E147&lt;=1,E146&lt;=1),MIN(20,C148+1),C148))))</f>
        <v/>
      </c>
      <c r="I148" s="22" t="str">
        <f aca="false">IF(H148="","",IF(H148&gt;C148,"Suba para o degrau "&amp;H148&amp;" ("&amp;INDEX(Degraus!$B$5:$B$24,H148)&amp;")",IF(H148&lt;C148,"Desça para o degrau "&amp;H148&amp;" ("&amp;INDEX(Degraus!$B$5:$B$24,H148)&amp;")","Repita o degrau "&amp;C148&amp;" até 3 sessões calmas seguidas")))</f>
        <v/>
      </c>
    </row>
    <row r="149" customFormat="false" ht="15" hidden="false" customHeight="false" outlineLevel="0" collapsed="false">
      <c r="A149" s="18" t="str">
        <f aca="false">IF(B149="","",ROW()-4)</f>
        <v/>
      </c>
      <c r="B149" s="19"/>
      <c r="C149" s="20"/>
      <c r="D149" s="18" t="str">
        <f aca="false">IF(C149="","",INDEX(Degraus!$B$5:$B$24,C149))</f>
        <v/>
      </c>
      <c r="E149" s="20"/>
      <c r="F149" s="21"/>
      <c r="G149" s="18" t="str">
        <f aca="false">IF(B149="","",INT((B149-MIN($B$5:$B$304))/7)+1)</f>
        <v/>
      </c>
      <c r="H149" s="18" t="str">
        <f aca="false">IF(OR(C149="",E149=""),"",IF(E149=3,MAX(1,C149-2),IF(E149=2,MAX(1,C149-1),IF(AND(C148=C149,C147=C149,E148&lt;&gt;"",E147&lt;&gt;"",E148&lt;=1,E147&lt;=1),MIN(20,C149+1),C149))))</f>
        <v/>
      </c>
      <c r="I149" s="22" t="str">
        <f aca="false">IF(H149="","",IF(H149&gt;C149,"Suba para o degrau "&amp;H149&amp;" ("&amp;INDEX(Degraus!$B$5:$B$24,H149)&amp;")",IF(H149&lt;C149,"Desça para o degrau "&amp;H149&amp;" ("&amp;INDEX(Degraus!$B$5:$B$24,H149)&amp;")","Repita o degrau "&amp;C149&amp;" até 3 sessões calmas seguidas")))</f>
        <v/>
      </c>
    </row>
    <row r="150" customFormat="false" ht="15" hidden="false" customHeight="false" outlineLevel="0" collapsed="false">
      <c r="A150" s="18" t="str">
        <f aca="false">IF(B150="","",ROW()-4)</f>
        <v/>
      </c>
      <c r="B150" s="19"/>
      <c r="C150" s="20"/>
      <c r="D150" s="18" t="str">
        <f aca="false">IF(C150="","",INDEX(Degraus!$B$5:$B$24,C150))</f>
        <v/>
      </c>
      <c r="E150" s="20"/>
      <c r="F150" s="21"/>
      <c r="G150" s="18" t="str">
        <f aca="false">IF(B150="","",INT((B150-MIN($B$5:$B$304))/7)+1)</f>
        <v/>
      </c>
      <c r="H150" s="18" t="str">
        <f aca="false">IF(OR(C150="",E150=""),"",IF(E150=3,MAX(1,C150-2),IF(E150=2,MAX(1,C150-1),IF(AND(C149=C150,C148=C150,E149&lt;&gt;"",E148&lt;&gt;"",E149&lt;=1,E148&lt;=1),MIN(20,C150+1),C150))))</f>
        <v/>
      </c>
      <c r="I150" s="22" t="str">
        <f aca="false">IF(H150="","",IF(H150&gt;C150,"Suba para o degrau "&amp;H150&amp;" ("&amp;INDEX(Degraus!$B$5:$B$24,H150)&amp;")",IF(H150&lt;C150,"Desça para o degrau "&amp;H150&amp;" ("&amp;INDEX(Degraus!$B$5:$B$24,H150)&amp;")","Repita o degrau "&amp;C150&amp;" até 3 sessões calmas seguidas")))</f>
        <v/>
      </c>
    </row>
    <row r="151" customFormat="false" ht="15" hidden="false" customHeight="false" outlineLevel="0" collapsed="false">
      <c r="A151" s="18" t="str">
        <f aca="false">IF(B151="","",ROW()-4)</f>
        <v/>
      </c>
      <c r="B151" s="19"/>
      <c r="C151" s="20"/>
      <c r="D151" s="18" t="str">
        <f aca="false">IF(C151="","",INDEX(Degraus!$B$5:$B$24,C151))</f>
        <v/>
      </c>
      <c r="E151" s="20"/>
      <c r="F151" s="21"/>
      <c r="G151" s="18" t="str">
        <f aca="false">IF(B151="","",INT((B151-MIN($B$5:$B$304))/7)+1)</f>
        <v/>
      </c>
      <c r="H151" s="18" t="str">
        <f aca="false">IF(OR(C151="",E151=""),"",IF(E151=3,MAX(1,C151-2),IF(E151=2,MAX(1,C151-1),IF(AND(C150=C151,C149=C151,E150&lt;&gt;"",E149&lt;&gt;"",E150&lt;=1,E149&lt;=1),MIN(20,C151+1),C151))))</f>
        <v/>
      </c>
      <c r="I151" s="22" t="str">
        <f aca="false">IF(H151="","",IF(H151&gt;C151,"Suba para o degrau "&amp;H151&amp;" ("&amp;INDEX(Degraus!$B$5:$B$24,H151)&amp;")",IF(H151&lt;C151,"Desça para o degrau "&amp;H151&amp;" ("&amp;INDEX(Degraus!$B$5:$B$24,H151)&amp;")","Repita o degrau "&amp;C151&amp;" até 3 sessões calmas seguidas")))</f>
        <v/>
      </c>
    </row>
    <row r="152" customFormat="false" ht="15" hidden="false" customHeight="false" outlineLevel="0" collapsed="false">
      <c r="A152" s="18" t="str">
        <f aca="false">IF(B152="","",ROW()-4)</f>
        <v/>
      </c>
      <c r="B152" s="19"/>
      <c r="C152" s="20"/>
      <c r="D152" s="18" t="str">
        <f aca="false">IF(C152="","",INDEX(Degraus!$B$5:$B$24,C152))</f>
        <v/>
      </c>
      <c r="E152" s="20"/>
      <c r="F152" s="21"/>
      <c r="G152" s="18" t="str">
        <f aca="false">IF(B152="","",INT((B152-MIN($B$5:$B$304))/7)+1)</f>
        <v/>
      </c>
      <c r="H152" s="18" t="str">
        <f aca="false">IF(OR(C152="",E152=""),"",IF(E152=3,MAX(1,C152-2),IF(E152=2,MAX(1,C152-1),IF(AND(C151=C152,C150=C152,E151&lt;&gt;"",E150&lt;&gt;"",E151&lt;=1,E150&lt;=1),MIN(20,C152+1),C152))))</f>
        <v/>
      </c>
      <c r="I152" s="22" t="str">
        <f aca="false">IF(H152="","",IF(H152&gt;C152,"Suba para o degrau "&amp;H152&amp;" ("&amp;INDEX(Degraus!$B$5:$B$24,H152)&amp;")",IF(H152&lt;C152,"Desça para o degrau "&amp;H152&amp;" ("&amp;INDEX(Degraus!$B$5:$B$24,H152)&amp;")","Repita o degrau "&amp;C152&amp;" até 3 sessões calmas seguidas")))</f>
        <v/>
      </c>
    </row>
    <row r="153" customFormat="false" ht="15" hidden="false" customHeight="false" outlineLevel="0" collapsed="false">
      <c r="A153" s="18" t="str">
        <f aca="false">IF(B153="","",ROW()-4)</f>
        <v/>
      </c>
      <c r="B153" s="19"/>
      <c r="C153" s="20"/>
      <c r="D153" s="18" t="str">
        <f aca="false">IF(C153="","",INDEX(Degraus!$B$5:$B$24,C153))</f>
        <v/>
      </c>
      <c r="E153" s="20"/>
      <c r="F153" s="21"/>
      <c r="G153" s="18" t="str">
        <f aca="false">IF(B153="","",INT((B153-MIN($B$5:$B$304))/7)+1)</f>
        <v/>
      </c>
      <c r="H153" s="18" t="str">
        <f aca="false">IF(OR(C153="",E153=""),"",IF(E153=3,MAX(1,C153-2),IF(E153=2,MAX(1,C153-1),IF(AND(C152=C153,C151=C153,E152&lt;&gt;"",E151&lt;&gt;"",E152&lt;=1,E151&lt;=1),MIN(20,C153+1),C153))))</f>
        <v/>
      </c>
      <c r="I153" s="22" t="str">
        <f aca="false">IF(H153="","",IF(H153&gt;C153,"Suba para o degrau "&amp;H153&amp;" ("&amp;INDEX(Degraus!$B$5:$B$24,H153)&amp;")",IF(H153&lt;C153,"Desça para o degrau "&amp;H153&amp;" ("&amp;INDEX(Degraus!$B$5:$B$24,H153)&amp;")","Repita o degrau "&amp;C153&amp;" até 3 sessões calmas seguidas")))</f>
        <v/>
      </c>
    </row>
    <row r="154" customFormat="false" ht="15" hidden="false" customHeight="false" outlineLevel="0" collapsed="false">
      <c r="A154" s="18" t="str">
        <f aca="false">IF(B154="","",ROW()-4)</f>
        <v/>
      </c>
      <c r="B154" s="19"/>
      <c r="C154" s="20"/>
      <c r="D154" s="18" t="str">
        <f aca="false">IF(C154="","",INDEX(Degraus!$B$5:$B$24,C154))</f>
        <v/>
      </c>
      <c r="E154" s="20"/>
      <c r="F154" s="21"/>
      <c r="G154" s="18" t="str">
        <f aca="false">IF(B154="","",INT((B154-MIN($B$5:$B$304))/7)+1)</f>
        <v/>
      </c>
      <c r="H154" s="18" t="str">
        <f aca="false">IF(OR(C154="",E154=""),"",IF(E154=3,MAX(1,C154-2),IF(E154=2,MAX(1,C154-1),IF(AND(C153=C154,C152=C154,E153&lt;&gt;"",E152&lt;&gt;"",E153&lt;=1,E152&lt;=1),MIN(20,C154+1),C154))))</f>
        <v/>
      </c>
      <c r="I154" s="22" t="str">
        <f aca="false">IF(H154="","",IF(H154&gt;C154,"Suba para o degrau "&amp;H154&amp;" ("&amp;INDEX(Degraus!$B$5:$B$24,H154)&amp;")",IF(H154&lt;C154,"Desça para o degrau "&amp;H154&amp;" ("&amp;INDEX(Degraus!$B$5:$B$24,H154)&amp;")","Repita o degrau "&amp;C154&amp;" até 3 sessões calmas seguidas")))</f>
        <v/>
      </c>
    </row>
    <row r="155" customFormat="false" ht="15" hidden="false" customHeight="false" outlineLevel="0" collapsed="false">
      <c r="A155" s="18" t="str">
        <f aca="false">IF(B155="","",ROW()-4)</f>
        <v/>
      </c>
      <c r="B155" s="19"/>
      <c r="C155" s="20"/>
      <c r="D155" s="18" t="str">
        <f aca="false">IF(C155="","",INDEX(Degraus!$B$5:$B$24,C155))</f>
        <v/>
      </c>
      <c r="E155" s="20"/>
      <c r="F155" s="21"/>
      <c r="G155" s="18" t="str">
        <f aca="false">IF(B155="","",INT((B155-MIN($B$5:$B$304))/7)+1)</f>
        <v/>
      </c>
      <c r="H155" s="18" t="str">
        <f aca="false">IF(OR(C155="",E155=""),"",IF(E155=3,MAX(1,C155-2),IF(E155=2,MAX(1,C155-1),IF(AND(C154=C155,C153=C155,E154&lt;&gt;"",E153&lt;&gt;"",E154&lt;=1,E153&lt;=1),MIN(20,C155+1),C155))))</f>
        <v/>
      </c>
      <c r="I155" s="22" t="str">
        <f aca="false">IF(H155="","",IF(H155&gt;C155,"Suba para o degrau "&amp;H155&amp;" ("&amp;INDEX(Degraus!$B$5:$B$24,H155)&amp;")",IF(H155&lt;C155,"Desça para o degrau "&amp;H155&amp;" ("&amp;INDEX(Degraus!$B$5:$B$24,H155)&amp;")","Repita o degrau "&amp;C155&amp;" até 3 sessões calmas seguidas")))</f>
        <v/>
      </c>
    </row>
    <row r="156" customFormat="false" ht="15" hidden="false" customHeight="false" outlineLevel="0" collapsed="false">
      <c r="A156" s="18" t="str">
        <f aca="false">IF(B156="","",ROW()-4)</f>
        <v/>
      </c>
      <c r="B156" s="19"/>
      <c r="C156" s="20"/>
      <c r="D156" s="18" t="str">
        <f aca="false">IF(C156="","",INDEX(Degraus!$B$5:$B$24,C156))</f>
        <v/>
      </c>
      <c r="E156" s="20"/>
      <c r="F156" s="21"/>
      <c r="G156" s="18" t="str">
        <f aca="false">IF(B156="","",INT((B156-MIN($B$5:$B$304))/7)+1)</f>
        <v/>
      </c>
      <c r="H156" s="18" t="str">
        <f aca="false">IF(OR(C156="",E156=""),"",IF(E156=3,MAX(1,C156-2),IF(E156=2,MAX(1,C156-1),IF(AND(C155=C156,C154=C156,E155&lt;&gt;"",E154&lt;&gt;"",E155&lt;=1,E154&lt;=1),MIN(20,C156+1),C156))))</f>
        <v/>
      </c>
      <c r="I156" s="22" t="str">
        <f aca="false">IF(H156="","",IF(H156&gt;C156,"Suba para o degrau "&amp;H156&amp;" ("&amp;INDEX(Degraus!$B$5:$B$24,H156)&amp;")",IF(H156&lt;C156,"Desça para o degrau "&amp;H156&amp;" ("&amp;INDEX(Degraus!$B$5:$B$24,H156)&amp;")","Repita o degrau "&amp;C156&amp;" até 3 sessões calmas seguidas")))</f>
        <v/>
      </c>
    </row>
    <row r="157" customFormat="false" ht="15" hidden="false" customHeight="false" outlineLevel="0" collapsed="false">
      <c r="A157" s="18" t="str">
        <f aca="false">IF(B157="","",ROW()-4)</f>
        <v/>
      </c>
      <c r="B157" s="19"/>
      <c r="C157" s="20"/>
      <c r="D157" s="18" t="str">
        <f aca="false">IF(C157="","",INDEX(Degraus!$B$5:$B$24,C157))</f>
        <v/>
      </c>
      <c r="E157" s="20"/>
      <c r="F157" s="21"/>
      <c r="G157" s="18" t="str">
        <f aca="false">IF(B157="","",INT((B157-MIN($B$5:$B$304))/7)+1)</f>
        <v/>
      </c>
      <c r="H157" s="18" t="str">
        <f aca="false">IF(OR(C157="",E157=""),"",IF(E157=3,MAX(1,C157-2),IF(E157=2,MAX(1,C157-1),IF(AND(C156=C157,C155=C157,E156&lt;&gt;"",E155&lt;&gt;"",E156&lt;=1,E155&lt;=1),MIN(20,C157+1),C157))))</f>
        <v/>
      </c>
      <c r="I157" s="22" t="str">
        <f aca="false">IF(H157="","",IF(H157&gt;C157,"Suba para o degrau "&amp;H157&amp;" ("&amp;INDEX(Degraus!$B$5:$B$24,H157)&amp;")",IF(H157&lt;C157,"Desça para o degrau "&amp;H157&amp;" ("&amp;INDEX(Degraus!$B$5:$B$24,H157)&amp;")","Repita o degrau "&amp;C157&amp;" até 3 sessões calmas seguidas")))</f>
        <v/>
      </c>
    </row>
    <row r="158" customFormat="false" ht="15" hidden="false" customHeight="false" outlineLevel="0" collapsed="false">
      <c r="A158" s="18" t="str">
        <f aca="false">IF(B158="","",ROW()-4)</f>
        <v/>
      </c>
      <c r="B158" s="19"/>
      <c r="C158" s="20"/>
      <c r="D158" s="18" t="str">
        <f aca="false">IF(C158="","",INDEX(Degraus!$B$5:$B$24,C158))</f>
        <v/>
      </c>
      <c r="E158" s="20"/>
      <c r="F158" s="21"/>
      <c r="G158" s="18" t="str">
        <f aca="false">IF(B158="","",INT((B158-MIN($B$5:$B$304))/7)+1)</f>
        <v/>
      </c>
      <c r="H158" s="18" t="str">
        <f aca="false">IF(OR(C158="",E158=""),"",IF(E158=3,MAX(1,C158-2),IF(E158=2,MAX(1,C158-1),IF(AND(C157=C158,C156=C158,E157&lt;&gt;"",E156&lt;&gt;"",E157&lt;=1,E156&lt;=1),MIN(20,C158+1),C158))))</f>
        <v/>
      </c>
      <c r="I158" s="22" t="str">
        <f aca="false">IF(H158="","",IF(H158&gt;C158,"Suba para o degrau "&amp;H158&amp;" ("&amp;INDEX(Degraus!$B$5:$B$24,H158)&amp;")",IF(H158&lt;C158,"Desça para o degrau "&amp;H158&amp;" ("&amp;INDEX(Degraus!$B$5:$B$24,H158)&amp;")","Repita o degrau "&amp;C158&amp;" até 3 sessões calmas seguidas")))</f>
        <v/>
      </c>
    </row>
    <row r="159" customFormat="false" ht="15" hidden="false" customHeight="false" outlineLevel="0" collapsed="false">
      <c r="A159" s="18" t="str">
        <f aca="false">IF(B159="","",ROW()-4)</f>
        <v/>
      </c>
      <c r="B159" s="19"/>
      <c r="C159" s="20"/>
      <c r="D159" s="18" t="str">
        <f aca="false">IF(C159="","",INDEX(Degraus!$B$5:$B$24,C159))</f>
        <v/>
      </c>
      <c r="E159" s="20"/>
      <c r="F159" s="21"/>
      <c r="G159" s="18" t="str">
        <f aca="false">IF(B159="","",INT((B159-MIN($B$5:$B$304))/7)+1)</f>
        <v/>
      </c>
      <c r="H159" s="18" t="str">
        <f aca="false">IF(OR(C159="",E159=""),"",IF(E159=3,MAX(1,C159-2),IF(E159=2,MAX(1,C159-1),IF(AND(C158=C159,C157=C159,E158&lt;&gt;"",E157&lt;&gt;"",E158&lt;=1,E157&lt;=1),MIN(20,C159+1),C159))))</f>
        <v/>
      </c>
      <c r="I159" s="22" t="str">
        <f aca="false">IF(H159="","",IF(H159&gt;C159,"Suba para o degrau "&amp;H159&amp;" ("&amp;INDEX(Degraus!$B$5:$B$24,H159)&amp;")",IF(H159&lt;C159,"Desça para o degrau "&amp;H159&amp;" ("&amp;INDEX(Degraus!$B$5:$B$24,H159)&amp;")","Repita o degrau "&amp;C159&amp;" até 3 sessões calmas seguidas")))</f>
        <v/>
      </c>
    </row>
    <row r="160" customFormat="false" ht="15" hidden="false" customHeight="false" outlineLevel="0" collapsed="false">
      <c r="A160" s="18" t="str">
        <f aca="false">IF(B160="","",ROW()-4)</f>
        <v/>
      </c>
      <c r="B160" s="19"/>
      <c r="C160" s="20"/>
      <c r="D160" s="18" t="str">
        <f aca="false">IF(C160="","",INDEX(Degraus!$B$5:$B$24,C160))</f>
        <v/>
      </c>
      <c r="E160" s="20"/>
      <c r="F160" s="21"/>
      <c r="G160" s="18" t="str">
        <f aca="false">IF(B160="","",INT((B160-MIN($B$5:$B$304))/7)+1)</f>
        <v/>
      </c>
      <c r="H160" s="18" t="str">
        <f aca="false">IF(OR(C160="",E160=""),"",IF(E160=3,MAX(1,C160-2),IF(E160=2,MAX(1,C160-1),IF(AND(C159=C160,C158=C160,E159&lt;&gt;"",E158&lt;&gt;"",E159&lt;=1,E158&lt;=1),MIN(20,C160+1),C160))))</f>
        <v/>
      </c>
      <c r="I160" s="22" t="str">
        <f aca="false">IF(H160="","",IF(H160&gt;C160,"Suba para o degrau "&amp;H160&amp;" ("&amp;INDEX(Degraus!$B$5:$B$24,H160)&amp;")",IF(H160&lt;C160,"Desça para o degrau "&amp;H160&amp;" ("&amp;INDEX(Degraus!$B$5:$B$24,H160)&amp;")","Repita o degrau "&amp;C160&amp;" até 3 sessões calmas seguidas")))</f>
        <v/>
      </c>
    </row>
    <row r="161" customFormat="false" ht="15" hidden="false" customHeight="false" outlineLevel="0" collapsed="false">
      <c r="A161" s="18" t="str">
        <f aca="false">IF(B161="","",ROW()-4)</f>
        <v/>
      </c>
      <c r="B161" s="19"/>
      <c r="C161" s="20"/>
      <c r="D161" s="18" t="str">
        <f aca="false">IF(C161="","",INDEX(Degraus!$B$5:$B$24,C161))</f>
        <v/>
      </c>
      <c r="E161" s="20"/>
      <c r="F161" s="21"/>
      <c r="G161" s="18" t="str">
        <f aca="false">IF(B161="","",INT((B161-MIN($B$5:$B$304))/7)+1)</f>
        <v/>
      </c>
      <c r="H161" s="18" t="str">
        <f aca="false">IF(OR(C161="",E161=""),"",IF(E161=3,MAX(1,C161-2),IF(E161=2,MAX(1,C161-1),IF(AND(C160=C161,C159=C161,E160&lt;&gt;"",E159&lt;&gt;"",E160&lt;=1,E159&lt;=1),MIN(20,C161+1),C161))))</f>
        <v/>
      </c>
      <c r="I161" s="22" t="str">
        <f aca="false">IF(H161="","",IF(H161&gt;C161,"Suba para o degrau "&amp;H161&amp;" ("&amp;INDEX(Degraus!$B$5:$B$24,H161)&amp;")",IF(H161&lt;C161,"Desça para o degrau "&amp;H161&amp;" ("&amp;INDEX(Degraus!$B$5:$B$24,H161)&amp;")","Repita o degrau "&amp;C161&amp;" até 3 sessões calmas seguidas")))</f>
        <v/>
      </c>
    </row>
    <row r="162" customFormat="false" ht="15" hidden="false" customHeight="false" outlineLevel="0" collapsed="false">
      <c r="A162" s="18" t="str">
        <f aca="false">IF(B162="","",ROW()-4)</f>
        <v/>
      </c>
      <c r="B162" s="19"/>
      <c r="C162" s="20"/>
      <c r="D162" s="18" t="str">
        <f aca="false">IF(C162="","",INDEX(Degraus!$B$5:$B$24,C162))</f>
        <v/>
      </c>
      <c r="E162" s="20"/>
      <c r="F162" s="21"/>
      <c r="G162" s="18" t="str">
        <f aca="false">IF(B162="","",INT((B162-MIN($B$5:$B$304))/7)+1)</f>
        <v/>
      </c>
      <c r="H162" s="18" t="str">
        <f aca="false">IF(OR(C162="",E162=""),"",IF(E162=3,MAX(1,C162-2),IF(E162=2,MAX(1,C162-1),IF(AND(C161=C162,C160=C162,E161&lt;&gt;"",E160&lt;&gt;"",E161&lt;=1,E160&lt;=1),MIN(20,C162+1),C162))))</f>
        <v/>
      </c>
      <c r="I162" s="22" t="str">
        <f aca="false">IF(H162="","",IF(H162&gt;C162,"Suba para o degrau "&amp;H162&amp;" ("&amp;INDEX(Degraus!$B$5:$B$24,H162)&amp;")",IF(H162&lt;C162,"Desça para o degrau "&amp;H162&amp;" ("&amp;INDEX(Degraus!$B$5:$B$24,H162)&amp;")","Repita o degrau "&amp;C162&amp;" até 3 sessões calmas seguidas")))</f>
        <v/>
      </c>
    </row>
    <row r="163" customFormat="false" ht="15" hidden="false" customHeight="false" outlineLevel="0" collapsed="false">
      <c r="A163" s="18" t="str">
        <f aca="false">IF(B163="","",ROW()-4)</f>
        <v/>
      </c>
      <c r="B163" s="19"/>
      <c r="C163" s="20"/>
      <c r="D163" s="18" t="str">
        <f aca="false">IF(C163="","",INDEX(Degraus!$B$5:$B$24,C163))</f>
        <v/>
      </c>
      <c r="E163" s="20"/>
      <c r="F163" s="21"/>
      <c r="G163" s="18" t="str">
        <f aca="false">IF(B163="","",INT((B163-MIN($B$5:$B$304))/7)+1)</f>
        <v/>
      </c>
      <c r="H163" s="18" t="str">
        <f aca="false">IF(OR(C163="",E163=""),"",IF(E163=3,MAX(1,C163-2),IF(E163=2,MAX(1,C163-1),IF(AND(C162=C163,C161=C163,E162&lt;&gt;"",E161&lt;&gt;"",E162&lt;=1,E161&lt;=1),MIN(20,C163+1),C163))))</f>
        <v/>
      </c>
      <c r="I163" s="22" t="str">
        <f aca="false">IF(H163="","",IF(H163&gt;C163,"Suba para o degrau "&amp;H163&amp;" ("&amp;INDEX(Degraus!$B$5:$B$24,H163)&amp;")",IF(H163&lt;C163,"Desça para o degrau "&amp;H163&amp;" ("&amp;INDEX(Degraus!$B$5:$B$24,H163)&amp;")","Repita o degrau "&amp;C163&amp;" até 3 sessões calmas seguidas")))</f>
        <v/>
      </c>
    </row>
    <row r="164" customFormat="false" ht="15" hidden="false" customHeight="false" outlineLevel="0" collapsed="false">
      <c r="A164" s="18" t="str">
        <f aca="false">IF(B164="","",ROW()-4)</f>
        <v/>
      </c>
      <c r="B164" s="19"/>
      <c r="C164" s="20"/>
      <c r="D164" s="18" t="str">
        <f aca="false">IF(C164="","",INDEX(Degraus!$B$5:$B$24,C164))</f>
        <v/>
      </c>
      <c r="E164" s="20"/>
      <c r="F164" s="21"/>
      <c r="G164" s="18" t="str">
        <f aca="false">IF(B164="","",INT((B164-MIN($B$5:$B$304))/7)+1)</f>
        <v/>
      </c>
      <c r="H164" s="18" t="str">
        <f aca="false">IF(OR(C164="",E164=""),"",IF(E164=3,MAX(1,C164-2),IF(E164=2,MAX(1,C164-1),IF(AND(C163=C164,C162=C164,E163&lt;&gt;"",E162&lt;&gt;"",E163&lt;=1,E162&lt;=1),MIN(20,C164+1),C164))))</f>
        <v/>
      </c>
      <c r="I164" s="22" t="str">
        <f aca="false">IF(H164="","",IF(H164&gt;C164,"Suba para o degrau "&amp;H164&amp;" ("&amp;INDEX(Degraus!$B$5:$B$24,H164)&amp;")",IF(H164&lt;C164,"Desça para o degrau "&amp;H164&amp;" ("&amp;INDEX(Degraus!$B$5:$B$24,H164)&amp;")","Repita o degrau "&amp;C164&amp;" até 3 sessões calmas seguidas")))</f>
        <v/>
      </c>
    </row>
    <row r="165" customFormat="false" ht="15" hidden="false" customHeight="false" outlineLevel="0" collapsed="false">
      <c r="A165" s="18" t="str">
        <f aca="false">IF(B165="","",ROW()-4)</f>
        <v/>
      </c>
      <c r="B165" s="19"/>
      <c r="C165" s="20"/>
      <c r="D165" s="18" t="str">
        <f aca="false">IF(C165="","",INDEX(Degraus!$B$5:$B$24,C165))</f>
        <v/>
      </c>
      <c r="E165" s="20"/>
      <c r="F165" s="21"/>
      <c r="G165" s="18" t="str">
        <f aca="false">IF(B165="","",INT((B165-MIN($B$5:$B$304))/7)+1)</f>
        <v/>
      </c>
      <c r="H165" s="18" t="str">
        <f aca="false">IF(OR(C165="",E165=""),"",IF(E165=3,MAX(1,C165-2),IF(E165=2,MAX(1,C165-1),IF(AND(C164=C165,C163=C165,E164&lt;&gt;"",E163&lt;&gt;"",E164&lt;=1,E163&lt;=1),MIN(20,C165+1),C165))))</f>
        <v/>
      </c>
      <c r="I165" s="22" t="str">
        <f aca="false">IF(H165="","",IF(H165&gt;C165,"Suba para o degrau "&amp;H165&amp;" ("&amp;INDEX(Degraus!$B$5:$B$24,H165)&amp;")",IF(H165&lt;C165,"Desça para o degrau "&amp;H165&amp;" ("&amp;INDEX(Degraus!$B$5:$B$24,H165)&amp;")","Repita o degrau "&amp;C165&amp;" até 3 sessões calmas seguidas")))</f>
        <v/>
      </c>
    </row>
    <row r="166" customFormat="false" ht="15" hidden="false" customHeight="false" outlineLevel="0" collapsed="false">
      <c r="A166" s="18" t="str">
        <f aca="false">IF(B166="","",ROW()-4)</f>
        <v/>
      </c>
      <c r="B166" s="19"/>
      <c r="C166" s="20"/>
      <c r="D166" s="18" t="str">
        <f aca="false">IF(C166="","",INDEX(Degraus!$B$5:$B$24,C166))</f>
        <v/>
      </c>
      <c r="E166" s="20"/>
      <c r="F166" s="21"/>
      <c r="G166" s="18" t="str">
        <f aca="false">IF(B166="","",INT((B166-MIN($B$5:$B$304))/7)+1)</f>
        <v/>
      </c>
      <c r="H166" s="18" t="str">
        <f aca="false">IF(OR(C166="",E166=""),"",IF(E166=3,MAX(1,C166-2),IF(E166=2,MAX(1,C166-1),IF(AND(C165=C166,C164=C166,E165&lt;&gt;"",E164&lt;&gt;"",E165&lt;=1,E164&lt;=1),MIN(20,C166+1),C166))))</f>
        <v/>
      </c>
      <c r="I166" s="22" t="str">
        <f aca="false">IF(H166="","",IF(H166&gt;C166,"Suba para o degrau "&amp;H166&amp;" ("&amp;INDEX(Degraus!$B$5:$B$24,H166)&amp;")",IF(H166&lt;C166,"Desça para o degrau "&amp;H166&amp;" ("&amp;INDEX(Degraus!$B$5:$B$24,H166)&amp;")","Repita o degrau "&amp;C166&amp;" até 3 sessões calmas seguidas")))</f>
        <v/>
      </c>
    </row>
    <row r="167" customFormat="false" ht="15" hidden="false" customHeight="false" outlineLevel="0" collapsed="false">
      <c r="A167" s="18" t="str">
        <f aca="false">IF(B167="","",ROW()-4)</f>
        <v/>
      </c>
      <c r="B167" s="19"/>
      <c r="C167" s="20"/>
      <c r="D167" s="18" t="str">
        <f aca="false">IF(C167="","",INDEX(Degraus!$B$5:$B$24,C167))</f>
        <v/>
      </c>
      <c r="E167" s="20"/>
      <c r="F167" s="21"/>
      <c r="G167" s="18" t="str">
        <f aca="false">IF(B167="","",INT((B167-MIN($B$5:$B$304))/7)+1)</f>
        <v/>
      </c>
      <c r="H167" s="18" t="str">
        <f aca="false">IF(OR(C167="",E167=""),"",IF(E167=3,MAX(1,C167-2),IF(E167=2,MAX(1,C167-1),IF(AND(C166=C167,C165=C167,E166&lt;&gt;"",E165&lt;&gt;"",E166&lt;=1,E165&lt;=1),MIN(20,C167+1),C167))))</f>
        <v/>
      </c>
      <c r="I167" s="22" t="str">
        <f aca="false">IF(H167="","",IF(H167&gt;C167,"Suba para o degrau "&amp;H167&amp;" ("&amp;INDEX(Degraus!$B$5:$B$24,H167)&amp;")",IF(H167&lt;C167,"Desça para o degrau "&amp;H167&amp;" ("&amp;INDEX(Degraus!$B$5:$B$24,H167)&amp;")","Repita o degrau "&amp;C167&amp;" até 3 sessões calmas seguidas")))</f>
        <v/>
      </c>
    </row>
    <row r="168" customFormat="false" ht="15" hidden="false" customHeight="false" outlineLevel="0" collapsed="false">
      <c r="A168" s="18" t="str">
        <f aca="false">IF(B168="","",ROW()-4)</f>
        <v/>
      </c>
      <c r="B168" s="19"/>
      <c r="C168" s="20"/>
      <c r="D168" s="18" t="str">
        <f aca="false">IF(C168="","",INDEX(Degraus!$B$5:$B$24,C168))</f>
        <v/>
      </c>
      <c r="E168" s="20"/>
      <c r="F168" s="21"/>
      <c r="G168" s="18" t="str">
        <f aca="false">IF(B168="","",INT((B168-MIN($B$5:$B$304))/7)+1)</f>
        <v/>
      </c>
      <c r="H168" s="18" t="str">
        <f aca="false">IF(OR(C168="",E168=""),"",IF(E168=3,MAX(1,C168-2),IF(E168=2,MAX(1,C168-1),IF(AND(C167=C168,C166=C168,E167&lt;&gt;"",E166&lt;&gt;"",E167&lt;=1,E166&lt;=1),MIN(20,C168+1),C168))))</f>
        <v/>
      </c>
      <c r="I168" s="22" t="str">
        <f aca="false">IF(H168="","",IF(H168&gt;C168,"Suba para o degrau "&amp;H168&amp;" ("&amp;INDEX(Degraus!$B$5:$B$24,H168)&amp;")",IF(H168&lt;C168,"Desça para o degrau "&amp;H168&amp;" ("&amp;INDEX(Degraus!$B$5:$B$24,H168)&amp;")","Repita o degrau "&amp;C168&amp;" até 3 sessões calmas seguidas")))</f>
        <v/>
      </c>
    </row>
    <row r="169" customFormat="false" ht="15" hidden="false" customHeight="false" outlineLevel="0" collapsed="false">
      <c r="A169" s="18" t="str">
        <f aca="false">IF(B169="","",ROW()-4)</f>
        <v/>
      </c>
      <c r="B169" s="19"/>
      <c r="C169" s="20"/>
      <c r="D169" s="18" t="str">
        <f aca="false">IF(C169="","",INDEX(Degraus!$B$5:$B$24,C169))</f>
        <v/>
      </c>
      <c r="E169" s="20"/>
      <c r="F169" s="21"/>
      <c r="G169" s="18" t="str">
        <f aca="false">IF(B169="","",INT((B169-MIN($B$5:$B$304))/7)+1)</f>
        <v/>
      </c>
      <c r="H169" s="18" t="str">
        <f aca="false">IF(OR(C169="",E169=""),"",IF(E169=3,MAX(1,C169-2),IF(E169=2,MAX(1,C169-1),IF(AND(C168=C169,C167=C169,E168&lt;&gt;"",E167&lt;&gt;"",E168&lt;=1,E167&lt;=1),MIN(20,C169+1),C169))))</f>
        <v/>
      </c>
      <c r="I169" s="22" t="str">
        <f aca="false">IF(H169="","",IF(H169&gt;C169,"Suba para o degrau "&amp;H169&amp;" ("&amp;INDEX(Degraus!$B$5:$B$24,H169)&amp;")",IF(H169&lt;C169,"Desça para o degrau "&amp;H169&amp;" ("&amp;INDEX(Degraus!$B$5:$B$24,H169)&amp;")","Repita o degrau "&amp;C169&amp;" até 3 sessões calmas seguidas")))</f>
        <v/>
      </c>
    </row>
    <row r="170" customFormat="false" ht="15" hidden="false" customHeight="false" outlineLevel="0" collapsed="false">
      <c r="A170" s="18" t="str">
        <f aca="false">IF(B170="","",ROW()-4)</f>
        <v/>
      </c>
      <c r="B170" s="19"/>
      <c r="C170" s="20"/>
      <c r="D170" s="18" t="str">
        <f aca="false">IF(C170="","",INDEX(Degraus!$B$5:$B$24,C170))</f>
        <v/>
      </c>
      <c r="E170" s="20"/>
      <c r="F170" s="21"/>
      <c r="G170" s="18" t="str">
        <f aca="false">IF(B170="","",INT((B170-MIN($B$5:$B$304))/7)+1)</f>
        <v/>
      </c>
      <c r="H170" s="18" t="str">
        <f aca="false">IF(OR(C170="",E170=""),"",IF(E170=3,MAX(1,C170-2),IF(E170=2,MAX(1,C170-1),IF(AND(C169=C170,C168=C170,E169&lt;&gt;"",E168&lt;&gt;"",E169&lt;=1,E168&lt;=1),MIN(20,C170+1),C170))))</f>
        <v/>
      </c>
      <c r="I170" s="22" t="str">
        <f aca="false">IF(H170="","",IF(H170&gt;C170,"Suba para o degrau "&amp;H170&amp;" ("&amp;INDEX(Degraus!$B$5:$B$24,H170)&amp;")",IF(H170&lt;C170,"Desça para o degrau "&amp;H170&amp;" ("&amp;INDEX(Degraus!$B$5:$B$24,H170)&amp;")","Repita o degrau "&amp;C170&amp;" até 3 sessões calmas seguidas")))</f>
        <v/>
      </c>
    </row>
    <row r="171" customFormat="false" ht="15" hidden="false" customHeight="false" outlineLevel="0" collapsed="false">
      <c r="A171" s="18" t="str">
        <f aca="false">IF(B171="","",ROW()-4)</f>
        <v/>
      </c>
      <c r="B171" s="19"/>
      <c r="C171" s="20"/>
      <c r="D171" s="18" t="str">
        <f aca="false">IF(C171="","",INDEX(Degraus!$B$5:$B$24,C171))</f>
        <v/>
      </c>
      <c r="E171" s="20"/>
      <c r="F171" s="21"/>
      <c r="G171" s="18" t="str">
        <f aca="false">IF(B171="","",INT((B171-MIN($B$5:$B$304))/7)+1)</f>
        <v/>
      </c>
      <c r="H171" s="18" t="str">
        <f aca="false">IF(OR(C171="",E171=""),"",IF(E171=3,MAX(1,C171-2),IF(E171=2,MAX(1,C171-1),IF(AND(C170=C171,C169=C171,E170&lt;&gt;"",E169&lt;&gt;"",E170&lt;=1,E169&lt;=1),MIN(20,C171+1),C171))))</f>
        <v/>
      </c>
      <c r="I171" s="22" t="str">
        <f aca="false">IF(H171="","",IF(H171&gt;C171,"Suba para o degrau "&amp;H171&amp;" ("&amp;INDEX(Degraus!$B$5:$B$24,H171)&amp;")",IF(H171&lt;C171,"Desça para o degrau "&amp;H171&amp;" ("&amp;INDEX(Degraus!$B$5:$B$24,H171)&amp;")","Repita o degrau "&amp;C171&amp;" até 3 sessões calmas seguidas")))</f>
        <v/>
      </c>
    </row>
    <row r="172" customFormat="false" ht="15" hidden="false" customHeight="false" outlineLevel="0" collapsed="false">
      <c r="A172" s="18" t="str">
        <f aca="false">IF(B172="","",ROW()-4)</f>
        <v/>
      </c>
      <c r="B172" s="19"/>
      <c r="C172" s="20"/>
      <c r="D172" s="18" t="str">
        <f aca="false">IF(C172="","",INDEX(Degraus!$B$5:$B$24,C172))</f>
        <v/>
      </c>
      <c r="E172" s="20"/>
      <c r="F172" s="21"/>
      <c r="G172" s="18" t="str">
        <f aca="false">IF(B172="","",INT((B172-MIN($B$5:$B$304))/7)+1)</f>
        <v/>
      </c>
      <c r="H172" s="18" t="str">
        <f aca="false">IF(OR(C172="",E172=""),"",IF(E172=3,MAX(1,C172-2),IF(E172=2,MAX(1,C172-1),IF(AND(C171=C172,C170=C172,E171&lt;&gt;"",E170&lt;&gt;"",E171&lt;=1,E170&lt;=1),MIN(20,C172+1),C172))))</f>
        <v/>
      </c>
      <c r="I172" s="22" t="str">
        <f aca="false">IF(H172="","",IF(H172&gt;C172,"Suba para o degrau "&amp;H172&amp;" ("&amp;INDEX(Degraus!$B$5:$B$24,H172)&amp;")",IF(H172&lt;C172,"Desça para o degrau "&amp;H172&amp;" ("&amp;INDEX(Degraus!$B$5:$B$24,H172)&amp;")","Repita o degrau "&amp;C172&amp;" até 3 sessões calmas seguidas")))</f>
        <v/>
      </c>
    </row>
    <row r="173" customFormat="false" ht="15" hidden="false" customHeight="false" outlineLevel="0" collapsed="false">
      <c r="A173" s="18" t="str">
        <f aca="false">IF(B173="","",ROW()-4)</f>
        <v/>
      </c>
      <c r="B173" s="19"/>
      <c r="C173" s="20"/>
      <c r="D173" s="18" t="str">
        <f aca="false">IF(C173="","",INDEX(Degraus!$B$5:$B$24,C173))</f>
        <v/>
      </c>
      <c r="E173" s="20"/>
      <c r="F173" s="21"/>
      <c r="G173" s="18" t="str">
        <f aca="false">IF(B173="","",INT((B173-MIN($B$5:$B$304))/7)+1)</f>
        <v/>
      </c>
      <c r="H173" s="18" t="str">
        <f aca="false">IF(OR(C173="",E173=""),"",IF(E173=3,MAX(1,C173-2),IF(E173=2,MAX(1,C173-1),IF(AND(C172=C173,C171=C173,E172&lt;&gt;"",E171&lt;&gt;"",E172&lt;=1,E171&lt;=1),MIN(20,C173+1),C173))))</f>
        <v/>
      </c>
      <c r="I173" s="22" t="str">
        <f aca="false">IF(H173="","",IF(H173&gt;C173,"Suba para o degrau "&amp;H173&amp;" ("&amp;INDEX(Degraus!$B$5:$B$24,H173)&amp;")",IF(H173&lt;C173,"Desça para o degrau "&amp;H173&amp;" ("&amp;INDEX(Degraus!$B$5:$B$24,H173)&amp;")","Repita o degrau "&amp;C173&amp;" até 3 sessões calmas seguidas")))</f>
        <v/>
      </c>
    </row>
    <row r="174" customFormat="false" ht="15" hidden="false" customHeight="false" outlineLevel="0" collapsed="false">
      <c r="A174" s="18" t="str">
        <f aca="false">IF(B174="","",ROW()-4)</f>
        <v/>
      </c>
      <c r="B174" s="19"/>
      <c r="C174" s="20"/>
      <c r="D174" s="18" t="str">
        <f aca="false">IF(C174="","",INDEX(Degraus!$B$5:$B$24,C174))</f>
        <v/>
      </c>
      <c r="E174" s="20"/>
      <c r="F174" s="21"/>
      <c r="G174" s="18" t="str">
        <f aca="false">IF(B174="","",INT((B174-MIN($B$5:$B$304))/7)+1)</f>
        <v/>
      </c>
      <c r="H174" s="18" t="str">
        <f aca="false">IF(OR(C174="",E174=""),"",IF(E174=3,MAX(1,C174-2),IF(E174=2,MAX(1,C174-1),IF(AND(C173=C174,C172=C174,E173&lt;&gt;"",E172&lt;&gt;"",E173&lt;=1,E172&lt;=1),MIN(20,C174+1),C174))))</f>
        <v/>
      </c>
      <c r="I174" s="22" t="str">
        <f aca="false">IF(H174="","",IF(H174&gt;C174,"Suba para o degrau "&amp;H174&amp;" ("&amp;INDEX(Degraus!$B$5:$B$24,H174)&amp;")",IF(H174&lt;C174,"Desça para o degrau "&amp;H174&amp;" ("&amp;INDEX(Degraus!$B$5:$B$24,H174)&amp;")","Repita o degrau "&amp;C174&amp;" até 3 sessões calmas seguidas")))</f>
        <v/>
      </c>
    </row>
    <row r="175" customFormat="false" ht="15" hidden="false" customHeight="false" outlineLevel="0" collapsed="false">
      <c r="A175" s="18" t="str">
        <f aca="false">IF(B175="","",ROW()-4)</f>
        <v/>
      </c>
      <c r="B175" s="19"/>
      <c r="C175" s="20"/>
      <c r="D175" s="18" t="str">
        <f aca="false">IF(C175="","",INDEX(Degraus!$B$5:$B$24,C175))</f>
        <v/>
      </c>
      <c r="E175" s="20"/>
      <c r="F175" s="21"/>
      <c r="G175" s="18" t="str">
        <f aca="false">IF(B175="","",INT((B175-MIN($B$5:$B$304))/7)+1)</f>
        <v/>
      </c>
      <c r="H175" s="18" t="str">
        <f aca="false">IF(OR(C175="",E175=""),"",IF(E175=3,MAX(1,C175-2),IF(E175=2,MAX(1,C175-1),IF(AND(C174=C175,C173=C175,E174&lt;&gt;"",E173&lt;&gt;"",E174&lt;=1,E173&lt;=1),MIN(20,C175+1),C175))))</f>
        <v/>
      </c>
      <c r="I175" s="22" t="str">
        <f aca="false">IF(H175="","",IF(H175&gt;C175,"Suba para o degrau "&amp;H175&amp;" ("&amp;INDEX(Degraus!$B$5:$B$24,H175)&amp;")",IF(H175&lt;C175,"Desça para o degrau "&amp;H175&amp;" ("&amp;INDEX(Degraus!$B$5:$B$24,H175)&amp;")","Repita o degrau "&amp;C175&amp;" até 3 sessões calmas seguidas")))</f>
        <v/>
      </c>
    </row>
    <row r="176" customFormat="false" ht="15" hidden="false" customHeight="false" outlineLevel="0" collapsed="false">
      <c r="A176" s="18" t="str">
        <f aca="false">IF(B176="","",ROW()-4)</f>
        <v/>
      </c>
      <c r="B176" s="19"/>
      <c r="C176" s="20"/>
      <c r="D176" s="18" t="str">
        <f aca="false">IF(C176="","",INDEX(Degraus!$B$5:$B$24,C176))</f>
        <v/>
      </c>
      <c r="E176" s="20"/>
      <c r="F176" s="21"/>
      <c r="G176" s="18" t="str">
        <f aca="false">IF(B176="","",INT((B176-MIN($B$5:$B$304))/7)+1)</f>
        <v/>
      </c>
      <c r="H176" s="18" t="str">
        <f aca="false">IF(OR(C176="",E176=""),"",IF(E176=3,MAX(1,C176-2),IF(E176=2,MAX(1,C176-1),IF(AND(C175=C176,C174=C176,E175&lt;&gt;"",E174&lt;&gt;"",E175&lt;=1,E174&lt;=1),MIN(20,C176+1),C176))))</f>
        <v/>
      </c>
      <c r="I176" s="22" t="str">
        <f aca="false">IF(H176="","",IF(H176&gt;C176,"Suba para o degrau "&amp;H176&amp;" ("&amp;INDEX(Degraus!$B$5:$B$24,H176)&amp;")",IF(H176&lt;C176,"Desça para o degrau "&amp;H176&amp;" ("&amp;INDEX(Degraus!$B$5:$B$24,H176)&amp;")","Repita o degrau "&amp;C176&amp;" até 3 sessões calmas seguidas")))</f>
        <v/>
      </c>
    </row>
    <row r="177" customFormat="false" ht="15" hidden="false" customHeight="false" outlineLevel="0" collapsed="false">
      <c r="A177" s="18" t="str">
        <f aca="false">IF(B177="","",ROW()-4)</f>
        <v/>
      </c>
      <c r="B177" s="19"/>
      <c r="C177" s="20"/>
      <c r="D177" s="18" t="str">
        <f aca="false">IF(C177="","",INDEX(Degraus!$B$5:$B$24,C177))</f>
        <v/>
      </c>
      <c r="E177" s="20"/>
      <c r="F177" s="21"/>
      <c r="G177" s="18" t="str">
        <f aca="false">IF(B177="","",INT((B177-MIN($B$5:$B$304))/7)+1)</f>
        <v/>
      </c>
      <c r="H177" s="18" t="str">
        <f aca="false">IF(OR(C177="",E177=""),"",IF(E177=3,MAX(1,C177-2),IF(E177=2,MAX(1,C177-1),IF(AND(C176=C177,C175=C177,E176&lt;&gt;"",E175&lt;&gt;"",E176&lt;=1,E175&lt;=1),MIN(20,C177+1),C177))))</f>
        <v/>
      </c>
      <c r="I177" s="22" t="str">
        <f aca="false">IF(H177="","",IF(H177&gt;C177,"Suba para o degrau "&amp;H177&amp;" ("&amp;INDEX(Degraus!$B$5:$B$24,H177)&amp;")",IF(H177&lt;C177,"Desça para o degrau "&amp;H177&amp;" ("&amp;INDEX(Degraus!$B$5:$B$24,H177)&amp;")","Repita o degrau "&amp;C177&amp;" até 3 sessões calmas seguidas")))</f>
        <v/>
      </c>
    </row>
    <row r="178" customFormat="false" ht="15" hidden="false" customHeight="false" outlineLevel="0" collapsed="false">
      <c r="A178" s="18" t="str">
        <f aca="false">IF(B178="","",ROW()-4)</f>
        <v/>
      </c>
      <c r="B178" s="19"/>
      <c r="C178" s="20"/>
      <c r="D178" s="18" t="str">
        <f aca="false">IF(C178="","",INDEX(Degraus!$B$5:$B$24,C178))</f>
        <v/>
      </c>
      <c r="E178" s="20"/>
      <c r="F178" s="21"/>
      <c r="G178" s="18" t="str">
        <f aca="false">IF(B178="","",INT((B178-MIN($B$5:$B$304))/7)+1)</f>
        <v/>
      </c>
      <c r="H178" s="18" t="str">
        <f aca="false">IF(OR(C178="",E178=""),"",IF(E178=3,MAX(1,C178-2),IF(E178=2,MAX(1,C178-1),IF(AND(C177=C178,C176=C178,E177&lt;&gt;"",E176&lt;&gt;"",E177&lt;=1,E176&lt;=1),MIN(20,C178+1),C178))))</f>
        <v/>
      </c>
      <c r="I178" s="22" t="str">
        <f aca="false">IF(H178="","",IF(H178&gt;C178,"Suba para o degrau "&amp;H178&amp;" ("&amp;INDEX(Degraus!$B$5:$B$24,H178)&amp;")",IF(H178&lt;C178,"Desça para o degrau "&amp;H178&amp;" ("&amp;INDEX(Degraus!$B$5:$B$24,H178)&amp;")","Repita o degrau "&amp;C178&amp;" até 3 sessões calmas seguidas")))</f>
        <v/>
      </c>
    </row>
    <row r="179" customFormat="false" ht="15" hidden="false" customHeight="false" outlineLevel="0" collapsed="false">
      <c r="A179" s="18" t="str">
        <f aca="false">IF(B179="","",ROW()-4)</f>
        <v/>
      </c>
      <c r="B179" s="19"/>
      <c r="C179" s="20"/>
      <c r="D179" s="18" t="str">
        <f aca="false">IF(C179="","",INDEX(Degraus!$B$5:$B$24,C179))</f>
        <v/>
      </c>
      <c r="E179" s="20"/>
      <c r="F179" s="21"/>
      <c r="G179" s="18" t="str">
        <f aca="false">IF(B179="","",INT((B179-MIN($B$5:$B$304))/7)+1)</f>
        <v/>
      </c>
      <c r="H179" s="18" t="str">
        <f aca="false">IF(OR(C179="",E179=""),"",IF(E179=3,MAX(1,C179-2),IF(E179=2,MAX(1,C179-1),IF(AND(C178=C179,C177=C179,E178&lt;&gt;"",E177&lt;&gt;"",E178&lt;=1,E177&lt;=1),MIN(20,C179+1),C179))))</f>
        <v/>
      </c>
      <c r="I179" s="22" t="str">
        <f aca="false">IF(H179="","",IF(H179&gt;C179,"Suba para o degrau "&amp;H179&amp;" ("&amp;INDEX(Degraus!$B$5:$B$24,H179)&amp;")",IF(H179&lt;C179,"Desça para o degrau "&amp;H179&amp;" ("&amp;INDEX(Degraus!$B$5:$B$24,H179)&amp;")","Repita o degrau "&amp;C179&amp;" até 3 sessões calmas seguidas")))</f>
        <v/>
      </c>
    </row>
    <row r="180" customFormat="false" ht="15" hidden="false" customHeight="false" outlineLevel="0" collapsed="false">
      <c r="A180" s="18" t="str">
        <f aca="false">IF(B180="","",ROW()-4)</f>
        <v/>
      </c>
      <c r="B180" s="19"/>
      <c r="C180" s="20"/>
      <c r="D180" s="18" t="str">
        <f aca="false">IF(C180="","",INDEX(Degraus!$B$5:$B$24,C180))</f>
        <v/>
      </c>
      <c r="E180" s="20"/>
      <c r="F180" s="21"/>
      <c r="G180" s="18" t="str">
        <f aca="false">IF(B180="","",INT((B180-MIN($B$5:$B$304))/7)+1)</f>
        <v/>
      </c>
      <c r="H180" s="18" t="str">
        <f aca="false">IF(OR(C180="",E180=""),"",IF(E180=3,MAX(1,C180-2),IF(E180=2,MAX(1,C180-1),IF(AND(C179=C180,C178=C180,E179&lt;&gt;"",E178&lt;&gt;"",E179&lt;=1,E178&lt;=1),MIN(20,C180+1),C180))))</f>
        <v/>
      </c>
      <c r="I180" s="22" t="str">
        <f aca="false">IF(H180="","",IF(H180&gt;C180,"Suba para o degrau "&amp;H180&amp;" ("&amp;INDEX(Degraus!$B$5:$B$24,H180)&amp;")",IF(H180&lt;C180,"Desça para o degrau "&amp;H180&amp;" ("&amp;INDEX(Degraus!$B$5:$B$24,H180)&amp;")","Repita o degrau "&amp;C180&amp;" até 3 sessões calmas seguidas")))</f>
        <v/>
      </c>
    </row>
    <row r="181" customFormat="false" ht="15" hidden="false" customHeight="false" outlineLevel="0" collapsed="false">
      <c r="A181" s="18" t="str">
        <f aca="false">IF(B181="","",ROW()-4)</f>
        <v/>
      </c>
      <c r="B181" s="19"/>
      <c r="C181" s="20"/>
      <c r="D181" s="18" t="str">
        <f aca="false">IF(C181="","",INDEX(Degraus!$B$5:$B$24,C181))</f>
        <v/>
      </c>
      <c r="E181" s="20"/>
      <c r="F181" s="21"/>
      <c r="G181" s="18" t="str">
        <f aca="false">IF(B181="","",INT((B181-MIN($B$5:$B$304))/7)+1)</f>
        <v/>
      </c>
      <c r="H181" s="18" t="str">
        <f aca="false">IF(OR(C181="",E181=""),"",IF(E181=3,MAX(1,C181-2),IF(E181=2,MAX(1,C181-1),IF(AND(C180=C181,C179=C181,E180&lt;&gt;"",E179&lt;&gt;"",E180&lt;=1,E179&lt;=1),MIN(20,C181+1),C181))))</f>
        <v/>
      </c>
      <c r="I181" s="22" t="str">
        <f aca="false">IF(H181="","",IF(H181&gt;C181,"Suba para o degrau "&amp;H181&amp;" ("&amp;INDEX(Degraus!$B$5:$B$24,H181)&amp;")",IF(H181&lt;C181,"Desça para o degrau "&amp;H181&amp;" ("&amp;INDEX(Degraus!$B$5:$B$24,H181)&amp;")","Repita o degrau "&amp;C181&amp;" até 3 sessões calmas seguidas")))</f>
        <v/>
      </c>
    </row>
    <row r="182" customFormat="false" ht="15" hidden="false" customHeight="false" outlineLevel="0" collapsed="false">
      <c r="A182" s="18" t="str">
        <f aca="false">IF(B182="","",ROW()-4)</f>
        <v/>
      </c>
      <c r="B182" s="19"/>
      <c r="C182" s="20"/>
      <c r="D182" s="18" t="str">
        <f aca="false">IF(C182="","",INDEX(Degraus!$B$5:$B$24,C182))</f>
        <v/>
      </c>
      <c r="E182" s="20"/>
      <c r="F182" s="21"/>
      <c r="G182" s="18" t="str">
        <f aca="false">IF(B182="","",INT((B182-MIN($B$5:$B$304))/7)+1)</f>
        <v/>
      </c>
      <c r="H182" s="18" t="str">
        <f aca="false">IF(OR(C182="",E182=""),"",IF(E182=3,MAX(1,C182-2),IF(E182=2,MAX(1,C182-1),IF(AND(C181=C182,C180=C182,E181&lt;&gt;"",E180&lt;&gt;"",E181&lt;=1,E180&lt;=1),MIN(20,C182+1),C182))))</f>
        <v/>
      </c>
      <c r="I182" s="22" t="str">
        <f aca="false">IF(H182="","",IF(H182&gt;C182,"Suba para o degrau "&amp;H182&amp;" ("&amp;INDEX(Degraus!$B$5:$B$24,H182)&amp;")",IF(H182&lt;C182,"Desça para o degrau "&amp;H182&amp;" ("&amp;INDEX(Degraus!$B$5:$B$24,H182)&amp;")","Repita o degrau "&amp;C182&amp;" até 3 sessões calmas seguidas")))</f>
        <v/>
      </c>
    </row>
    <row r="183" customFormat="false" ht="15" hidden="false" customHeight="false" outlineLevel="0" collapsed="false">
      <c r="A183" s="18" t="str">
        <f aca="false">IF(B183="","",ROW()-4)</f>
        <v/>
      </c>
      <c r="B183" s="19"/>
      <c r="C183" s="20"/>
      <c r="D183" s="18" t="str">
        <f aca="false">IF(C183="","",INDEX(Degraus!$B$5:$B$24,C183))</f>
        <v/>
      </c>
      <c r="E183" s="20"/>
      <c r="F183" s="21"/>
      <c r="G183" s="18" t="str">
        <f aca="false">IF(B183="","",INT((B183-MIN($B$5:$B$304))/7)+1)</f>
        <v/>
      </c>
      <c r="H183" s="18" t="str">
        <f aca="false">IF(OR(C183="",E183=""),"",IF(E183=3,MAX(1,C183-2),IF(E183=2,MAX(1,C183-1),IF(AND(C182=C183,C181=C183,E182&lt;&gt;"",E181&lt;&gt;"",E182&lt;=1,E181&lt;=1),MIN(20,C183+1),C183))))</f>
        <v/>
      </c>
      <c r="I183" s="22" t="str">
        <f aca="false">IF(H183="","",IF(H183&gt;C183,"Suba para o degrau "&amp;H183&amp;" ("&amp;INDEX(Degraus!$B$5:$B$24,H183)&amp;")",IF(H183&lt;C183,"Desça para o degrau "&amp;H183&amp;" ("&amp;INDEX(Degraus!$B$5:$B$24,H183)&amp;")","Repita o degrau "&amp;C183&amp;" até 3 sessões calmas seguidas")))</f>
        <v/>
      </c>
    </row>
    <row r="184" customFormat="false" ht="15" hidden="false" customHeight="false" outlineLevel="0" collapsed="false">
      <c r="A184" s="18" t="str">
        <f aca="false">IF(B184="","",ROW()-4)</f>
        <v/>
      </c>
      <c r="B184" s="19"/>
      <c r="C184" s="20"/>
      <c r="D184" s="18" t="str">
        <f aca="false">IF(C184="","",INDEX(Degraus!$B$5:$B$24,C184))</f>
        <v/>
      </c>
      <c r="E184" s="20"/>
      <c r="F184" s="21"/>
      <c r="G184" s="18" t="str">
        <f aca="false">IF(B184="","",INT((B184-MIN($B$5:$B$304))/7)+1)</f>
        <v/>
      </c>
      <c r="H184" s="18" t="str">
        <f aca="false">IF(OR(C184="",E184=""),"",IF(E184=3,MAX(1,C184-2),IF(E184=2,MAX(1,C184-1),IF(AND(C183=C184,C182=C184,E183&lt;&gt;"",E182&lt;&gt;"",E183&lt;=1,E182&lt;=1),MIN(20,C184+1),C184))))</f>
        <v/>
      </c>
      <c r="I184" s="22" t="str">
        <f aca="false">IF(H184="","",IF(H184&gt;C184,"Suba para o degrau "&amp;H184&amp;" ("&amp;INDEX(Degraus!$B$5:$B$24,H184)&amp;")",IF(H184&lt;C184,"Desça para o degrau "&amp;H184&amp;" ("&amp;INDEX(Degraus!$B$5:$B$24,H184)&amp;")","Repita o degrau "&amp;C184&amp;" até 3 sessões calmas seguidas")))</f>
        <v/>
      </c>
    </row>
    <row r="185" customFormat="false" ht="15" hidden="false" customHeight="false" outlineLevel="0" collapsed="false">
      <c r="A185" s="18" t="str">
        <f aca="false">IF(B185="","",ROW()-4)</f>
        <v/>
      </c>
      <c r="B185" s="19"/>
      <c r="C185" s="20"/>
      <c r="D185" s="18" t="str">
        <f aca="false">IF(C185="","",INDEX(Degraus!$B$5:$B$24,C185))</f>
        <v/>
      </c>
      <c r="E185" s="20"/>
      <c r="F185" s="21"/>
      <c r="G185" s="18" t="str">
        <f aca="false">IF(B185="","",INT((B185-MIN($B$5:$B$304))/7)+1)</f>
        <v/>
      </c>
      <c r="H185" s="18" t="str">
        <f aca="false">IF(OR(C185="",E185=""),"",IF(E185=3,MAX(1,C185-2),IF(E185=2,MAX(1,C185-1),IF(AND(C184=C185,C183=C185,E184&lt;&gt;"",E183&lt;&gt;"",E184&lt;=1,E183&lt;=1),MIN(20,C185+1),C185))))</f>
        <v/>
      </c>
      <c r="I185" s="22" t="str">
        <f aca="false">IF(H185="","",IF(H185&gt;C185,"Suba para o degrau "&amp;H185&amp;" ("&amp;INDEX(Degraus!$B$5:$B$24,H185)&amp;")",IF(H185&lt;C185,"Desça para o degrau "&amp;H185&amp;" ("&amp;INDEX(Degraus!$B$5:$B$24,H185)&amp;")","Repita o degrau "&amp;C185&amp;" até 3 sessões calmas seguidas")))</f>
        <v/>
      </c>
    </row>
    <row r="186" customFormat="false" ht="15" hidden="false" customHeight="false" outlineLevel="0" collapsed="false">
      <c r="A186" s="18" t="str">
        <f aca="false">IF(B186="","",ROW()-4)</f>
        <v/>
      </c>
      <c r="B186" s="19"/>
      <c r="C186" s="20"/>
      <c r="D186" s="18" t="str">
        <f aca="false">IF(C186="","",INDEX(Degraus!$B$5:$B$24,C186))</f>
        <v/>
      </c>
      <c r="E186" s="20"/>
      <c r="F186" s="21"/>
      <c r="G186" s="18" t="str">
        <f aca="false">IF(B186="","",INT((B186-MIN($B$5:$B$304))/7)+1)</f>
        <v/>
      </c>
      <c r="H186" s="18" t="str">
        <f aca="false">IF(OR(C186="",E186=""),"",IF(E186=3,MAX(1,C186-2),IF(E186=2,MAX(1,C186-1),IF(AND(C185=C186,C184=C186,E185&lt;&gt;"",E184&lt;&gt;"",E185&lt;=1,E184&lt;=1),MIN(20,C186+1),C186))))</f>
        <v/>
      </c>
      <c r="I186" s="22" t="str">
        <f aca="false">IF(H186="","",IF(H186&gt;C186,"Suba para o degrau "&amp;H186&amp;" ("&amp;INDEX(Degraus!$B$5:$B$24,H186)&amp;")",IF(H186&lt;C186,"Desça para o degrau "&amp;H186&amp;" ("&amp;INDEX(Degraus!$B$5:$B$24,H186)&amp;")","Repita o degrau "&amp;C186&amp;" até 3 sessões calmas seguidas")))</f>
        <v/>
      </c>
    </row>
    <row r="187" customFormat="false" ht="15" hidden="false" customHeight="false" outlineLevel="0" collapsed="false">
      <c r="A187" s="18" t="str">
        <f aca="false">IF(B187="","",ROW()-4)</f>
        <v/>
      </c>
      <c r="B187" s="19"/>
      <c r="C187" s="20"/>
      <c r="D187" s="18" t="str">
        <f aca="false">IF(C187="","",INDEX(Degraus!$B$5:$B$24,C187))</f>
        <v/>
      </c>
      <c r="E187" s="20"/>
      <c r="F187" s="21"/>
      <c r="G187" s="18" t="str">
        <f aca="false">IF(B187="","",INT((B187-MIN($B$5:$B$304))/7)+1)</f>
        <v/>
      </c>
      <c r="H187" s="18" t="str">
        <f aca="false">IF(OR(C187="",E187=""),"",IF(E187=3,MAX(1,C187-2),IF(E187=2,MAX(1,C187-1),IF(AND(C186=C187,C185=C187,E186&lt;&gt;"",E185&lt;&gt;"",E186&lt;=1,E185&lt;=1),MIN(20,C187+1),C187))))</f>
        <v/>
      </c>
      <c r="I187" s="22" t="str">
        <f aca="false">IF(H187="","",IF(H187&gt;C187,"Suba para o degrau "&amp;H187&amp;" ("&amp;INDEX(Degraus!$B$5:$B$24,H187)&amp;")",IF(H187&lt;C187,"Desça para o degrau "&amp;H187&amp;" ("&amp;INDEX(Degraus!$B$5:$B$24,H187)&amp;")","Repita o degrau "&amp;C187&amp;" até 3 sessões calmas seguidas")))</f>
        <v/>
      </c>
    </row>
    <row r="188" customFormat="false" ht="15" hidden="false" customHeight="false" outlineLevel="0" collapsed="false">
      <c r="A188" s="18" t="str">
        <f aca="false">IF(B188="","",ROW()-4)</f>
        <v/>
      </c>
      <c r="B188" s="19"/>
      <c r="C188" s="20"/>
      <c r="D188" s="18" t="str">
        <f aca="false">IF(C188="","",INDEX(Degraus!$B$5:$B$24,C188))</f>
        <v/>
      </c>
      <c r="E188" s="20"/>
      <c r="F188" s="21"/>
      <c r="G188" s="18" t="str">
        <f aca="false">IF(B188="","",INT((B188-MIN($B$5:$B$304))/7)+1)</f>
        <v/>
      </c>
      <c r="H188" s="18" t="str">
        <f aca="false">IF(OR(C188="",E188=""),"",IF(E188=3,MAX(1,C188-2),IF(E188=2,MAX(1,C188-1),IF(AND(C187=C188,C186=C188,E187&lt;&gt;"",E186&lt;&gt;"",E187&lt;=1,E186&lt;=1),MIN(20,C188+1),C188))))</f>
        <v/>
      </c>
      <c r="I188" s="22" t="str">
        <f aca="false">IF(H188="","",IF(H188&gt;C188,"Suba para o degrau "&amp;H188&amp;" ("&amp;INDEX(Degraus!$B$5:$B$24,H188)&amp;")",IF(H188&lt;C188,"Desça para o degrau "&amp;H188&amp;" ("&amp;INDEX(Degraus!$B$5:$B$24,H188)&amp;")","Repita o degrau "&amp;C188&amp;" até 3 sessões calmas seguidas")))</f>
        <v/>
      </c>
    </row>
    <row r="189" customFormat="false" ht="15" hidden="false" customHeight="false" outlineLevel="0" collapsed="false">
      <c r="A189" s="18" t="str">
        <f aca="false">IF(B189="","",ROW()-4)</f>
        <v/>
      </c>
      <c r="B189" s="19"/>
      <c r="C189" s="20"/>
      <c r="D189" s="18" t="str">
        <f aca="false">IF(C189="","",INDEX(Degraus!$B$5:$B$24,C189))</f>
        <v/>
      </c>
      <c r="E189" s="20"/>
      <c r="F189" s="21"/>
      <c r="G189" s="18" t="str">
        <f aca="false">IF(B189="","",INT((B189-MIN($B$5:$B$304))/7)+1)</f>
        <v/>
      </c>
      <c r="H189" s="18" t="str">
        <f aca="false">IF(OR(C189="",E189=""),"",IF(E189=3,MAX(1,C189-2),IF(E189=2,MAX(1,C189-1),IF(AND(C188=C189,C187=C189,E188&lt;&gt;"",E187&lt;&gt;"",E188&lt;=1,E187&lt;=1),MIN(20,C189+1),C189))))</f>
        <v/>
      </c>
      <c r="I189" s="22" t="str">
        <f aca="false">IF(H189="","",IF(H189&gt;C189,"Suba para o degrau "&amp;H189&amp;" ("&amp;INDEX(Degraus!$B$5:$B$24,H189)&amp;")",IF(H189&lt;C189,"Desça para o degrau "&amp;H189&amp;" ("&amp;INDEX(Degraus!$B$5:$B$24,H189)&amp;")","Repita o degrau "&amp;C189&amp;" até 3 sessões calmas seguidas")))</f>
        <v/>
      </c>
    </row>
    <row r="190" customFormat="false" ht="15" hidden="false" customHeight="false" outlineLevel="0" collapsed="false">
      <c r="A190" s="18" t="str">
        <f aca="false">IF(B190="","",ROW()-4)</f>
        <v/>
      </c>
      <c r="B190" s="19"/>
      <c r="C190" s="20"/>
      <c r="D190" s="18" t="str">
        <f aca="false">IF(C190="","",INDEX(Degraus!$B$5:$B$24,C190))</f>
        <v/>
      </c>
      <c r="E190" s="20"/>
      <c r="F190" s="21"/>
      <c r="G190" s="18" t="str">
        <f aca="false">IF(B190="","",INT((B190-MIN($B$5:$B$304))/7)+1)</f>
        <v/>
      </c>
      <c r="H190" s="18" t="str">
        <f aca="false">IF(OR(C190="",E190=""),"",IF(E190=3,MAX(1,C190-2),IF(E190=2,MAX(1,C190-1),IF(AND(C189=C190,C188=C190,E189&lt;&gt;"",E188&lt;&gt;"",E189&lt;=1,E188&lt;=1),MIN(20,C190+1),C190))))</f>
        <v/>
      </c>
      <c r="I190" s="22" t="str">
        <f aca="false">IF(H190="","",IF(H190&gt;C190,"Suba para o degrau "&amp;H190&amp;" ("&amp;INDEX(Degraus!$B$5:$B$24,H190)&amp;")",IF(H190&lt;C190,"Desça para o degrau "&amp;H190&amp;" ("&amp;INDEX(Degraus!$B$5:$B$24,H190)&amp;")","Repita o degrau "&amp;C190&amp;" até 3 sessões calmas seguidas")))</f>
        <v/>
      </c>
    </row>
    <row r="191" customFormat="false" ht="15" hidden="false" customHeight="false" outlineLevel="0" collapsed="false">
      <c r="A191" s="18" t="str">
        <f aca="false">IF(B191="","",ROW()-4)</f>
        <v/>
      </c>
      <c r="B191" s="19"/>
      <c r="C191" s="20"/>
      <c r="D191" s="18" t="str">
        <f aca="false">IF(C191="","",INDEX(Degraus!$B$5:$B$24,C191))</f>
        <v/>
      </c>
      <c r="E191" s="20"/>
      <c r="F191" s="21"/>
      <c r="G191" s="18" t="str">
        <f aca="false">IF(B191="","",INT((B191-MIN($B$5:$B$304))/7)+1)</f>
        <v/>
      </c>
      <c r="H191" s="18" t="str">
        <f aca="false">IF(OR(C191="",E191=""),"",IF(E191=3,MAX(1,C191-2),IF(E191=2,MAX(1,C191-1),IF(AND(C190=C191,C189=C191,E190&lt;&gt;"",E189&lt;&gt;"",E190&lt;=1,E189&lt;=1),MIN(20,C191+1),C191))))</f>
        <v/>
      </c>
      <c r="I191" s="22" t="str">
        <f aca="false">IF(H191="","",IF(H191&gt;C191,"Suba para o degrau "&amp;H191&amp;" ("&amp;INDEX(Degraus!$B$5:$B$24,H191)&amp;")",IF(H191&lt;C191,"Desça para o degrau "&amp;H191&amp;" ("&amp;INDEX(Degraus!$B$5:$B$24,H191)&amp;")","Repita o degrau "&amp;C191&amp;" até 3 sessões calmas seguidas")))</f>
        <v/>
      </c>
    </row>
    <row r="192" customFormat="false" ht="15" hidden="false" customHeight="false" outlineLevel="0" collapsed="false">
      <c r="A192" s="18" t="str">
        <f aca="false">IF(B192="","",ROW()-4)</f>
        <v/>
      </c>
      <c r="B192" s="19"/>
      <c r="C192" s="20"/>
      <c r="D192" s="18" t="str">
        <f aca="false">IF(C192="","",INDEX(Degraus!$B$5:$B$24,C192))</f>
        <v/>
      </c>
      <c r="E192" s="20"/>
      <c r="F192" s="21"/>
      <c r="G192" s="18" t="str">
        <f aca="false">IF(B192="","",INT((B192-MIN($B$5:$B$304))/7)+1)</f>
        <v/>
      </c>
      <c r="H192" s="18" t="str">
        <f aca="false">IF(OR(C192="",E192=""),"",IF(E192=3,MAX(1,C192-2),IF(E192=2,MAX(1,C192-1),IF(AND(C191=C192,C190=C192,E191&lt;&gt;"",E190&lt;&gt;"",E191&lt;=1,E190&lt;=1),MIN(20,C192+1),C192))))</f>
        <v/>
      </c>
      <c r="I192" s="22" t="str">
        <f aca="false">IF(H192="","",IF(H192&gt;C192,"Suba para o degrau "&amp;H192&amp;" ("&amp;INDEX(Degraus!$B$5:$B$24,H192)&amp;")",IF(H192&lt;C192,"Desça para o degrau "&amp;H192&amp;" ("&amp;INDEX(Degraus!$B$5:$B$24,H192)&amp;")","Repita o degrau "&amp;C192&amp;" até 3 sessões calmas seguidas")))</f>
        <v/>
      </c>
    </row>
    <row r="193" customFormat="false" ht="15" hidden="false" customHeight="false" outlineLevel="0" collapsed="false">
      <c r="A193" s="18" t="str">
        <f aca="false">IF(B193="","",ROW()-4)</f>
        <v/>
      </c>
      <c r="B193" s="19"/>
      <c r="C193" s="20"/>
      <c r="D193" s="18" t="str">
        <f aca="false">IF(C193="","",INDEX(Degraus!$B$5:$B$24,C193))</f>
        <v/>
      </c>
      <c r="E193" s="20"/>
      <c r="F193" s="21"/>
      <c r="G193" s="18" t="str">
        <f aca="false">IF(B193="","",INT((B193-MIN($B$5:$B$304))/7)+1)</f>
        <v/>
      </c>
      <c r="H193" s="18" t="str">
        <f aca="false">IF(OR(C193="",E193=""),"",IF(E193=3,MAX(1,C193-2),IF(E193=2,MAX(1,C193-1),IF(AND(C192=C193,C191=C193,E192&lt;&gt;"",E191&lt;&gt;"",E192&lt;=1,E191&lt;=1),MIN(20,C193+1),C193))))</f>
        <v/>
      </c>
      <c r="I193" s="22" t="str">
        <f aca="false">IF(H193="","",IF(H193&gt;C193,"Suba para o degrau "&amp;H193&amp;" ("&amp;INDEX(Degraus!$B$5:$B$24,H193)&amp;")",IF(H193&lt;C193,"Desça para o degrau "&amp;H193&amp;" ("&amp;INDEX(Degraus!$B$5:$B$24,H193)&amp;")","Repita o degrau "&amp;C193&amp;" até 3 sessões calmas seguidas")))</f>
        <v/>
      </c>
    </row>
    <row r="194" customFormat="false" ht="15" hidden="false" customHeight="false" outlineLevel="0" collapsed="false">
      <c r="A194" s="18" t="str">
        <f aca="false">IF(B194="","",ROW()-4)</f>
        <v/>
      </c>
      <c r="B194" s="19"/>
      <c r="C194" s="20"/>
      <c r="D194" s="18" t="str">
        <f aca="false">IF(C194="","",INDEX(Degraus!$B$5:$B$24,C194))</f>
        <v/>
      </c>
      <c r="E194" s="20"/>
      <c r="F194" s="21"/>
      <c r="G194" s="18" t="str">
        <f aca="false">IF(B194="","",INT((B194-MIN($B$5:$B$304))/7)+1)</f>
        <v/>
      </c>
      <c r="H194" s="18" t="str">
        <f aca="false">IF(OR(C194="",E194=""),"",IF(E194=3,MAX(1,C194-2),IF(E194=2,MAX(1,C194-1),IF(AND(C193=C194,C192=C194,E193&lt;&gt;"",E192&lt;&gt;"",E193&lt;=1,E192&lt;=1),MIN(20,C194+1),C194))))</f>
        <v/>
      </c>
      <c r="I194" s="22" t="str">
        <f aca="false">IF(H194="","",IF(H194&gt;C194,"Suba para o degrau "&amp;H194&amp;" ("&amp;INDEX(Degraus!$B$5:$B$24,H194)&amp;")",IF(H194&lt;C194,"Desça para o degrau "&amp;H194&amp;" ("&amp;INDEX(Degraus!$B$5:$B$24,H194)&amp;")","Repita o degrau "&amp;C194&amp;" até 3 sessões calmas seguidas")))</f>
        <v/>
      </c>
    </row>
    <row r="195" customFormat="false" ht="15" hidden="false" customHeight="false" outlineLevel="0" collapsed="false">
      <c r="A195" s="18" t="str">
        <f aca="false">IF(B195="","",ROW()-4)</f>
        <v/>
      </c>
      <c r="B195" s="19"/>
      <c r="C195" s="20"/>
      <c r="D195" s="18" t="str">
        <f aca="false">IF(C195="","",INDEX(Degraus!$B$5:$B$24,C195))</f>
        <v/>
      </c>
      <c r="E195" s="20"/>
      <c r="F195" s="21"/>
      <c r="G195" s="18" t="str">
        <f aca="false">IF(B195="","",INT((B195-MIN($B$5:$B$304))/7)+1)</f>
        <v/>
      </c>
      <c r="H195" s="18" t="str">
        <f aca="false">IF(OR(C195="",E195=""),"",IF(E195=3,MAX(1,C195-2),IF(E195=2,MAX(1,C195-1),IF(AND(C194=C195,C193=C195,E194&lt;&gt;"",E193&lt;&gt;"",E194&lt;=1,E193&lt;=1),MIN(20,C195+1),C195))))</f>
        <v/>
      </c>
      <c r="I195" s="22" t="str">
        <f aca="false">IF(H195="","",IF(H195&gt;C195,"Suba para o degrau "&amp;H195&amp;" ("&amp;INDEX(Degraus!$B$5:$B$24,H195)&amp;")",IF(H195&lt;C195,"Desça para o degrau "&amp;H195&amp;" ("&amp;INDEX(Degraus!$B$5:$B$24,H195)&amp;")","Repita o degrau "&amp;C195&amp;" até 3 sessões calmas seguidas")))</f>
        <v/>
      </c>
    </row>
    <row r="196" customFormat="false" ht="15" hidden="false" customHeight="false" outlineLevel="0" collapsed="false">
      <c r="A196" s="18" t="str">
        <f aca="false">IF(B196="","",ROW()-4)</f>
        <v/>
      </c>
      <c r="B196" s="19"/>
      <c r="C196" s="20"/>
      <c r="D196" s="18" t="str">
        <f aca="false">IF(C196="","",INDEX(Degraus!$B$5:$B$24,C196))</f>
        <v/>
      </c>
      <c r="E196" s="20"/>
      <c r="F196" s="21"/>
      <c r="G196" s="18" t="str">
        <f aca="false">IF(B196="","",INT((B196-MIN($B$5:$B$304))/7)+1)</f>
        <v/>
      </c>
      <c r="H196" s="18" t="str">
        <f aca="false">IF(OR(C196="",E196=""),"",IF(E196=3,MAX(1,C196-2),IF(E196=2,MAX(1,C196-1),IF(AND(C195=C196,C194=C196,E195&lt;&gt;"",E194&lt;&gt;"",E195&lt;=1,E194&lt;=1),MIN(20,C196+1),C196))))</f>
        <v/>
      </c>
      <c r="I196" s="22" t="str">
        <f aca="false">IF(H196="","",IF(H196&gt;C196,"Suba para o degrau "&amp;H196&amp;" ("&amp;INDEX(Degraus!$B$5:$B$24,H196)&amp;")",IF(H196&lt;C196,"Desça para o degrau "&amp;H196&amp;" ("&amp;INDEX(Degraus!$B$5:$B$24,H196)&amp;")","Repita o degrau "&amp;C196&amp;" até 3 sessões calmas seguidas")))</f>
        <v/>
      </c>
    </row>
    <row r="197" customFormat="false" ht="15" hidden="false" customHeight="false" outlineLevel="0" collapsed="false">
      <c r="A197" s="18" t="str">
        <f aca="false">IF(B197="","",ROW()-4)</f>
        <v/>
      </c>
      <c r="B197" s="19"/>
      <c r="C197" s="20"/>
      <c r="D197" s="18" t="str">
        <f aca="false">IF(C197="","",INDEX(Degraus!$B$5:$B$24,C197))</f>
        <v/>
      </c>
      <c r="E197" s="20"/>
      <c r="F197" s="21"/>
      <c r="G197" s="18" t="str">
        <f aca="false">IF(B197="","",INT((B197-MIN($B$5:$B$304))/7)+1)</f>
        <v/>
      </c>
      <c r="H197" s="18" t="str">
        <f aca="false">IF(OR(C197="",E197=""),"",IF(E197=3,MAX(1,C197-2),IF(E197=2,MAX(1,C197-1),IF(AND(C196=C197,C195=C197,E196&lt;&gt;"",E195&lt;&gt;"",E196&lt;=1,E195&lt;=1),MIN(20,C197+1),C197))))</f>
        <v/>
      </c>
      <c r="I197" s="22" t="str">
        <f aca="false">IF(H197="","",IF(H197&gt;C197,"Suba para o degrau "&amp;H197&amp;" ("&amp;INDEX(Degraus!$B$5:$B$24,H197)&amp;")",IF(H197&lt;C197,"Desça para o degrau "&amp;H197&amp;" ("&amp;INDEX(Degraus!$B$5:$B$24,H197)&amp;")","Repita o degrau "&amp;C197&amp;" até 3 sessões calmas seguidas")))</f>
        <v/>
      </c>
    </row>
    <row r="198" customFormat="false" ht="15" hidden="false" customHeight="false" outlineLevel="0" collapsed="false">
      <c r="A198" s="18" t="str">
        <f aca="false">IF(B198="","",ROW()-4)</f>
        <v/>
      </c>
      <c r="B198" s="19"/>
      <c r="C198" s="20"/>
      <c r="D198" s="18" t="str">
        <f aca="false">IF(C198="","",INDEX(Degraus!$B$5:$B$24,C198))</f>
        <v/>
      </c>
      <c r="E198" s="20"/>
      <c r="F198" s="21"/>
      <c r="G198" s="18" t="str">
        <f aca="false">IF(B198="","",INT((B198-MIN($B$5:$B$304))/7)+1)</f>
        <v/>
      </c>
      <c r="H198" s="18" t="str">
        <f aca="false">IF(OR(C198="",E198=""),"",IF(E198=3,MAX(1,C198-2),IF(E198=2,MAX(1,C198-1),IF(AND(C197=C198,C196=C198,E197&lt;&gt;"",E196&lt;&gt;"",E197&lt;=1,E196&lt;=1),MIN(20,C198+1),C198))))</f>
        <v/>
      </c>
      <c r="I198" s="22" t="str">
        <f aca="false">IF(H198="","",IF(H198&gt;C198,"Suba para o degrau "&amp;H198&amp;" ("&amp;INDEX(Degraus!$B$5:$B$24,H198)&amp;")",IF(H198&lt;C198,"Desça para o degrau "&amp;H198&amp;" ("&amp;INDEX(Degraus!$B$5:$B$24,H198)&amp;")","Repita o degrau "&amp;C198&amp;" até 3 sessões calmas seguidas")))</f>
        <v/>
      </c>
    </row>
    <row r="199" customFormat="false" ht="15" hidden="false" customHeight="false" outlineLevel="0" collapsed="false">
      <c r="A199" s="18" t="str">
        <f aca="false">IF(B199="","",ROW()-4)</f>
        <v/>
      </c>
      <c r="B199" s="19"/>
      <c r="C199" s="20"/>
      <c r="D199" s="18" t="str">
        <f aca="false">IF(C199="","",INDEX(Degraus!$B$5:$B$24,C199))</f>
        <v/>
      </c>
      <c r="E199" s="20"/>
      <c r="F199" s="21"/>
      <c r="G199" s="18" t="str">
        <f aca="false">IF(B199="","",INT((B199-MIN($B$5:$B$304))/7)+1)</f>
        <v/>
      </c>
      <c r="H199" s="18" t="str">
        <f aca="false">IF(OR(C199="",E199=""),"",IF(E199=3,MAX(1,C199-2),IF(E199=2,MAX(1,C199-1),IF(AND(C198=C199,C197=C199,E198&lt;&gt;"",E197&lt;&gt;"",E198&lt;=1,E197&lt;=1),MIN(20,C199+1),C199))))</f>
        <v/>
      </c>
      <c r="I199" s="22" t="str">
        <f aca="false">IF(H199="","",IF(H199&gt;C199,"Suba para o degrau "&amp;H199&amp;" ("&amp;INDEX(Degraus!$B$5:$B$24,H199)&amp;")",IF(H199&lt;C199,"Desça para o degrau "&amp;H199&amp;" ("&amp;INDEX(Degraus!$B$5:$B$24,H199)&amp;")","Repita o degrau "&amp;C199&amp;" até 3 sessões calmas seguidas")))</f>
        <v/>
      </c>
    </row>
    <row r="200" customFormat="false" ht="15" hidden="false" customHeight="false" outlineLevel="0" collapsed="false">
      <c r="A200" s="18" t="str">
        <f aca="false">IF(B200="","",ROW()-4)</f>
        <v/>
      </c>
      <c r="B200" s="19"/>
      <c r="C200" s="20"/>
      <c r="D200" s="18" t="str">
        <f aca="false">IF(C200="","",INDEX(Degraus!$B$5:$B$24,C200))</f>
        <v/>
      </c>
      <c r="E200" s="20"/>
      <c r="F200" s="21"/>
      <c r="G200" s="18" t="str">
        <f aca="false">IF(B200="","",INT((B200-MIN($B$5:$B$304))/7)+1)</f>
        <v/>
      </c>
      <c r="H200" s="18" t="str">
        <f aca="false">IF(OR(C200="",E200=""),"",IF(E200=3,MAX(1,C200-2),IF(E200=2,MAX(1,C200-1),IF(AND(C199=C200,C198=C200,E199&lt;&gt;"",E198&lt;&gt;"",E199&lt;=1,E198&lt;=1),MIN(20,C200+1),C200))))</f>
        <v/>
      </c>
      <c r="I200" s="22" t="str">
        <f aca="false">IF(H200="","",IF(H200&gt;C200,"Suba para o degrau "&amp;H200&amp;" ("&amp;INDEX(Degraus!$B$5:$B$24,H200)&amp;")",IF(H200&lt;C200,"Desça para o degrau "&amp;H200&amp;" ("&amp;INDEX(Degraus!$B$5:$B$24,H200)&amp;")","Repita o degrau "&amp;C200&amp;" até 3 sessões calmas seguidas")))</f>
        <v/>
      </c>
    </row>
    <row r="201" customFormat="false" ht="15" hidden="false" customHeight="false" outlineLevel="0" collapsed="false">
      <c r="A201" s="18" t="str">
        <f aca="false">IF(B201="","",ROW()-4)</f>
        <v/>
      </c>
      <c r="B201" s="19"/>
      <c r="C201" s="20"/>
      <c r="D201" s="18" t="str">
        <f aca="false">IF(C201="","",INDEX(Degraus!$B$5:$B$24,C201))</f>
        <v/>
      </c>
      <c r="E201" s="20"/>
      <c r="F201" s="21"/>
      <c r="G201" s="18" t="str">
        <f aca="false">IF(B201="","",INT((B201-MIN($B$5:$B$304))/7)+1)</f>
        <v/>
      </c>
      <c r="H201" s="18" t="str">
        <f aca="false">IF(OR(C201="",E201=""),"",IF(E201=3,MAX(1,C201-2),IF(E201=2,MAX(1,C201-1),IF(AND(C200=C201,C199=C201,E200&lt;&gt;"",E199&lt;&gt;"",E200&lt;=1,E199&lt;=1),MIN(20,C201+1),C201))))</f>
        <v/>
      </c>
      <c r="I201" s="22" t="str">
        <f aca="false">IF(H201="","",IF(H201&gt;C201,"Suba para o degrau "&amp;H201&amp;" ("&amp;INDEX(Degraus!$B$5:$B$24,H201)&amp;")",IF(H201&lt;C201,"Desça para o degrau "&amp;H201&amp;" ("&amp;INDEX(Degraus!$B$5:$B$24,H201)&amp;")","Repita o degrau "&amp;C201&amp;" até 3 sessões calmas seguidas")))</f>
        <v/>
      </c>
    </row>
    <row r="202" customFormat="false" ht="15" hidden="false" customHeight="false" outlineLevel="0" collapsed="false">
      <c r="A202" s="18" t="str">
        <f aca="false">IF(B202="","",ROW()-4)</f>
        <v/>
      </c>
      <c r="B202" s="19"/>
      <c r="C202" s="20"/>
      <c r="D202" s="18" t="str">
        <f aca="false">IF(C202="","",INDEX(Degraus!$B$5:$B$24,C202))</f>
        <v/>
      </c>
      <c r="E202" s="20"/>
      <c r="F202" s="21"/>
      <c r="G202" s="18" t="str">
        <f aca="false">IF(B202="","",INT((B202-MIN($B$5:$B$304))/7)+1)</f>
        <v/>
      </c>
      <c r="H202" s="18" t="str">
        <f aca="false">IF(OR(C202="",E202=""),"",IF(E202=3,MAX(1,C202-2),IF(E202=2,MAX(1,C202-1),IF(AND(C201=C202,C200=C202,E201&lt;&gt;"",E200&lt;&gt;"",E201&lt;=1,E200&lt;=1),MIN(20,C202+1),C202))))</f>
        <v/>
      </c>
      <c r="I202" s="22" t="str">
        <f aca="false">IF(H202="","",IF(H202&gt;C202,"Suba para o degrau "&amp;H202&amp;" ("&amp;INDEX(Degraus!$B$5:$B$24,H202)&amp;")",IF(H202&lt;C202,"Desça para o degrau "&amp;H202&amp;" ("&amp;INDEX(Degraus!$B$5:$B$24,H202)&amp;")","Repita o degrau "&amp;C202&amp;" até 3 sessões calmas seguidas")))</f>
        <v/>
      </c>
    </row>
    <row r="203" customFormat="false" ht="15" hidden="false" customHeight="false" outlineLevel="0" collapsed="false">
      <c r="A203" s="18" t="str">
        <f aca="false">IF(B203="","",ROW()-4)</f>
        <v/>
      </c>
      <c r="B203" s="19"/>
      <c r="C203" s="20"/>
      <c r="D203" s="18" t="str">
        <f aca="false">IF(C203="","",INDEX(Degraus!$B$5:$B$24,C203))</f>
        <v/>
      </c>
      <c r="E203" s="20"/>
      <c r="F203" s="21"/>
      <c r="G203" s="18" t="str">
        <f aca="false">IF(B203="","",INT((B203-MIN($B$5:$B$304))/7)+1)</f>
        <v/>
      </c>
      <c r="H203" s="18" t="str">
        <f aca="false">IF(OR(C203="",E203=""),"",IF(E203=3,MAX(1,C203-2),IF(E203=2,MAX(1,C203-1),IF(AND(C202=C203,C201=C203,E202&lt;&gt;"",E201&lt;&gt;"",E202&lt;=1,E201&lt;=1),MIN(20,C203+1),C203))))</f>
        <v/>
      </c>
      <c r="I203" s="22" t="str">
        <f aca="false">IF(H203="","",IF(H203&gt;C203,"Suba para o degrau "&amp;H203&amp;" ("&amp;INDEX(Degraus!$B$5:$B$24,H203)&amp;")",IF(H203&lt;C203,"Desça para o degrau "&amp;H203&amp;" ("&amp;INDEX(Degraus!$B$5:$B$24,H203)&amp;")","Repita o degrau "&amp;C203&amp;" até 3 sessões calmas seguidas")))</f>
        <v/>
      </c>
    </row>
    <row r="204" customFormat="false" ht="15" hidden="false" customHeight="false" outlineLevel="0" collapsed="false">
      <c r="A204" s="18" t="str">
        <f aca="false">IF(B204="","",ROW()-4)</f>
        <v/>
      </c>
      <c r="B204" s="19"/>
      <c r="C204" s="20"/>
      <c r="D204" s="18" t="str">
        <f aca="false">IF(C204="","",INDEX(Degraus!$B$5:$B$24,C204))</f>
        <v/>
      </c>
      <c r="E204" s="20"/>
      <c r="F204" s="21"/>
      <c r="G204" s="18" t="str">
        <f aca="false">IF(B204="","",INT((B204-MIN($B$5:$B$304))/7)+1)</f>
        <v/>
      </c>
      <c r="H204" s="18" t="str">
        <f aca="false">IF(OR(C204="",E204=""),"",IF(E204=3,MAX(1,C204-2),IF(E204=2,MAX(1,C204-1),IF(AND(C203=C204,C202=C204,E203&lt;&gt;"",E202&lt;&gt;"",E203&lt;=1,E202&lt;=1),MIN(20,C204+1),C204))))</f>
        <v/>
      </c>
      <c r="I204" s="22" t="str">
        <f aca="false">IF(H204="","",IF(H204&gt;C204,"Suba para o degrau "&amp;H204&amp;" ("&amp;INDEX(Degraus!$B$5:$B$24,H204)&amp;")",IF(H204&lt;C204,"Desça para o degrau "&amp;H204&amp;" ("&amp;INDEX(Degraus!$B$5:$B$24,H204)&amp;")","Repita o degrau "&amp;C204&amp;" até 3 sessões calmas seguidas")))</f>
        <v/>
      </c>
    </row>
    <row r="205" customFormat="false" ht="15" hidden="false" customHeight="false" outlineLevel="0" collapsed="false">
      <c r="A205" s="18" t="str">
        <f aca="false">IF(B205="","",ROW()-4)</f>
        <v/>
      </c>
      <c r="B205" s="19"/>
      <c r="C205" s="20"/>
      <c r="D205" s="18" t="str">
        <f aca="false">IF(C205="","",INDEX(Degraus!$B$5:$B$24,C205))</f>
        <v/>
      </c>
      <c r="E205" s="20"/>
      <c r="F205" s="21"/>
      <c r="G205" s="18" t="str">
        <f aca="false">IF(B205="","",INT((B205-MIN($B$5:$B$304))/7)+1)</f>
        <v/>
      </c>
      <c r="H205" s="18" t="str">
        <f aca="false">IF(OR(C205="",E205=""),"",IF(E205=3,MAX(1,C205-2),IF(E205=2,MAX(1,C205-1),IF(AND(C204=C205,C203=C205,E204&lt;&gt;"",E203&lt;&gt;"",E204&lt;=1,E203&lt;=1),MIN(20,C205+1),C205))))</f>
        <v/>
      </c>
      <c r="I205" s="22" t="str">
        <f aca="false">IF(H205="","",IF(H205&gt;C205,"Suba para o degrau "&amp;H205&amp;" ("&amp;INDEX(Degraus!$B$5:$B$24,H205)&amp;")",IF(H205&lt;C205,"Desça para o degrau "&amp;H205&amp;" ("&amp;INDEX(Degraus!$B$5:$B$24,H205)&amp;")","Repita o degrau "&amp;C205&amp;" até 3 sessões calmas seguidas")))</f>
        <v/>
      </c>
    </row>
    <row r="206" customFormat="false" ht="15" hidden="false" customHeight="false" outlineLevel="0" collapsed="false">
      <c r="A206" s="18" t="str">
        <f aca="false">IF(B206="","",ROW()-4)</f>
        <v/>
      </c>
      <c r="B206" s="19"/>
      <c r="C206" s="20"/>
      <c r="D206" s="18" t="str">
        <f aca="false">IF(C206="","",INDEX(Degraus!$B$5:$B$24,C206))</f>
        <v/>
      </c>
      <c r="E206" s="20"/>
      <c r="F206" s="21"/>
      <c r="G206" s="18" t="str">
        <f aca="false">IF(B206="","",INT((B206-MIN($B$5:$B$304))/7)+1)</f>
        <v/>
      </c>
      <c r="H206" s="18" t="str">
        <f aca="false">IF(OR(C206="",E206=""),"",IF(E206=3,MAX(1,C206-2),IF(E206=2,MAX(1,C206-1),IF(AND(C205=C206,C204=C206,E205&lt;&gt;"",E204&lt;&gt;"",E205&lt;=1,E204&lt;=1),MIN(20,C206+1),C206))))</f>
        <v/>
      </c>
      <c r="I206" s="22" t="str">
        <f aca="false">IF(H206="","",IF(H206&gt;C206,"Suba para o degrau "&amp;H206&amp;" ("&amp;INDEX(Degraus!$B$5:$B$24,H206)&amp;")",IF(H206&lt;C206,"Desça para o degrau "&amp;H206&amp;" ("&amp;INDEX(Degraus!$B$5:$B$24,H206)&amp;")","Repita o degrau "&amp;C206&amp;" até 3 sessões calmas seguidas")))</f>
        <v/>
      </c>
    </row>
    <row r="207" customFormat="false" ht="15" hidden="false" customHeight="false" outlineLevel="0" collapsed="false">
      <c r="A207" s="18" t="str">
        <f aca="false">IF(B207="","",ROW()-4)</f>
        <v/>
      </c>
      <c r="B207" s="19"/>
      <c r="C207" s="20"/>
      <c r="D207" s="18" t="str">
        <f aca="false">IF(C207="","",INDEX(Degraus!$B$5:$B$24,C207))</f>
        <v/>
      </c>
      <c r="E207" s="20"/>
      <c r="F207" s="21"/>
      <c r="G207" s="18" t="str">
        <f aca="false">IF(B207="","",INT((B207-MIN($B$5:$B$304))/7)+1)</f>
        <v/>
      </c>
      <c r="H207" s="18" t="str">
        <f aca="false">IF(OR(C207="",E207=""),"",IF(E207=3,MAX(1,C207-2),IF(E207=2,MAX(1,C207-1),IF(AND(C206=C207,C205=C207,E206&lt;&gt;"",E205&lt;&gt;"",E206&lt;=1,E205&lt;=1),MIN(20,C207+1),C207))))</f>
        <v/>
      </c>
      <c r="I207" s="22" t="str">
        <f aca="false">IF(H207="","",IF(H207&gt;C207,"Suba para o degrau "&amp;H207&amp;" ("&amp;INDEX(Degraus!$B$5:$B$24,H207)&amp;")",IF(H207&lt;C207,"Desça para o degrau "&amp;H207&amp;" ("&amp;INDEX(Degraus!$B$5:$B$24,H207)&amp;")","Repita o degrau "&amp;C207&amp;" até 3 sessões calmas seguidas")))</f>
        <v/>
      </c>
    </row>
    <row r="208" customFormat="false" ht="15" hidden="false" customHeight="false" outlineLevel="0" collapsed="false">
      <c r="A208" s="18" t="str">
        <f aca="false">IF(B208="","",ROW()-4)</f>
        <v/>
      </c>
      <c r="B208" s="19"/>
      <c r="C208" s="20"/>
      <c r="D208" s="18" t="str">
        <f aca="false">IF(C208="","",INDEX(Degraus!$B$5:$B$24,C208))</f>
        <v/>
      </c>
      <c r="E208" s="20"/>
      <c r="F208" s="21"/>
      <c r="G208" s="18" t="str">
        <f aca="false">IF(B208="","",INT((B208-MIN($B$5:$B$304))/7)+1)</f>
        <v/>
      </c>
      <c r="H208" s="18" t="str">
        <f aca="false">IF(OR(C208="",E208=""),"",IF(E208=3,MAX(1,C208-2),IF(E208=2,MAX(1,C208-1),IF(AND(C207=C208,C206=C208,E207&lt;&gt;"",E206&lt;&gt;"",E207&lt;=1,E206&lt;=1),MIN(20,C208+1),C208))))</f>
        <v/>
      </c>
      <c r="I208" s="22" t="str">
        <f aca="false">IF(H208="","",IF(H208&gt;C208,"Suba para o degrau "&amp;H208&amp;" ("&amp;INDEX(Degraus!$B$5:$B$24,H208)&amp;")",IF(H208&lt;C208,"Desça para o degrau "&amp;H208&amp;" ("&amp;INDEX(Degraus!$B$5:$B$24,H208)&amp;")","Repita o degrau "&amp;C208&amp;" até 3 sessões calmas seguidas")))</f>
        <v/>
      </c>
    </row>
    <row r="209" customFormat="false" ht="15" hidden="false" customHeight="false" outlineLevel="0" collapsed="false">
      <c r="A209" s="18" t="str">
        <f aca="false">IF(B209="","",ROW()-4)</f>
        <v/>
      </c>
      <c r="B209" s="19"/>
      <c r="C209" s="20"/>
      <c r="D209" s="18" t="str">
        <f aca="false">IF(C209="","",INDEX(Degraus!$B$5:$B$24,C209))</f>
        <v/>
      </c>
      <c r="E209" s="20"/>
      <c r="F209" s="21"/>
      <c r="G209" s="18" t="str">
        <f aca="false">IF(B209="","",INT((B209-MIN($B$5:$B$304))/7)+1)</f>
        <v/>
      </c>
      <c r="H209" s="18" t="str">
        <f aca="false">IF(OR(C209="",E209=""),"",IF(E209=3,MAX(1,C209-2),IF(E209=2,MAX(1,C209-1),IF(AND(C208=C209,C207=C209,E208&lt;&gt;"",E207&lt;&gt;"",E208&lt;=1,E207&lt;=1),MIN(20,C209+1),C209))))</f>
        <v/>
      </c>
      <c r="I209" s="22" t="str">
        <f aca="false">IF(H209="","",IF(H209&gt;C209,"Suba para o degrau "&amp;H209&amp;" ("&amp;INDEX(Degraus!$B$5:$B$24,H209)&amp;")",IF(H209&lt;C209,"Desça para o degrau "&amp;H209&amp;" ("&amp;INDEX(Degraus!$B$5:$B$24,H209)&amp;")","Repita o degrau "&amp;C209&amp;" até 3 sessões calmas seguidas")))</f>
        <v/>
      </c>
    </row>
    <row r="210" customFormat="false" ht="15" hidden="false" customHeight="false" outlineLevel="0" collapsed="false">
      <c r="A210" s="18" t="str">
        <f aca="false">IF(B210="","",ROW()-4)</f>
        <v/>
      </c>
      <c r="B210" s="19"/>
      <c r="C210" s="20"/>
      <c r="D210" s="18" t="str">
        <f aca="false">IF(C210="","",INDEX(Degraus!$B$5:$B$24,C210))</f>
        <v/>
      </c>
      <c r="E210" s="20"/>
      <c r="F210" s="21"/>
      <c r="G210" s="18" t="str">
        <f aca="false">IF(B210="","",INT((B210-MIN($B$5:$B$304))/7)+1)</f>
        <v/>
      </c>
      <c r="H210" s="18" t="str">
        <f aca="false">IF(OR(C210="",E210=""),"",IF(E210=3,MAX(1,C210-2),IF(E210=2,MAX(1,C210-1),IF(AND(C209=C210,C208=C210,E209&lt;&gt;"",E208&lt;&gt;"",E209&lt;=1,E208&lt;=1),MIN(20,C210+1),C210))))</f>
        <v/>
      </c>
      <c r="I210" s="22" t="str">
        <f aca="false">IF(H210="","",IF(H210&gt;C210,"Suba para o degrau "&amp;H210&amp;" ("&amp;INDEX(Degraus!$B$5:$B$24,H210)&amp;")",IF(H210&lt;C210,"Desça para o degrau "&amp;H210&amp;" ("&amp;INDEX(Degraus!$B$5:$B$24,H210)&amp;")","Repita o degrau "&amp;C210&amp;" até 3 sessões calmas seguidas")))</f>
        <v/>
      </c>
    </row>
    <row r="211" customFormat="false" ht="15" hidden="false" customHeight="false" outlineLevel="0" collapsed="false">
      <c r="A211" s="18" t="str">
        <f aca="false">IF(B211="","",ROW()-4)</f>
        <v/>
      </c>
      <c r="B211" s="19"/>
      <c r="C211" s="20"/>
      <c r="D211" s="18" t="str">
        <f aca="false">IF(C211="","",INDEX(Degraus!$B$5:$B$24,C211))</f>
        <v/>
      </c>
      <c r="E211" s="20"/>
      <c r="F211" s="21"/>
      <c r="G211" s="18" t="str">
        <f aca="false">IF(B211="","",INT((B211-MIN($B$5:$B$304))/7)+1)</f>
        <v/>
      </c>
      <c r="H211" s="18" t="str">
        <f aca="false">IF(OR(C211="",E211=""),"",IF(E211=3,MAX(1,C211-2),IF(E211=2,MAX(1,C211-1),IF(AND(C210=C211,C209=C211,E210&lt;&gt;"",E209&lt;&gt;"",E210&lt;=1,E209&lt;=1),MIN(20,C211+1),C211))))</f>
        <v/>
      </c>
      <c r="I211" s="22" t="str">
        <f aca="false">IF(H211="","",IF(H211&gt;C211,"Suba para o degrau "&amp;H211&amp;" ("&amp;INDEX(Degraus!$B$5:$B$24,H211)&amp;")",IF(H211&lt;C211,"Desça para o degrau "&amp;H211&amp;" ("&amp;INDEX(Degraus!$B$5:$B$24,H211)&amp;")","Repita o degrau "&amp;C211&amp;" até 3 sessões calmas seguidas")))</f>
        <v/>
      </c>
    </row>
    <row r="212" customFormat="false" ht="15" hidden="false" customHeight="false" outlineLevel="0" collapsed="false">
      <c r="A212" s="18" t="str">
        <f aca="false">IF(B212="","",ROW()-4)</f>
        <v/>
      </c>
      <c r="B212" s="19"/>
      <c r="C212" s="20"/>
      <c r="D212" s="18" t="str">
        <f aca="false">IF(C212="","",INDEX(Degraus!$B$5:$B$24,C212))</f>
        <v/>
      </c>
      <c r="E212" s="20"/>
      <c r="F212" s="21"/>
      <c r="G212" s="18" t="str">
        <f aca="false">IF(B212="","",INT((B212-MIN($B$5:$B$304))/7)+1)</f>
        <v/>
      </c>
      <c r="H212" s="18" t="str">
        <f aca="false">IF(OR(C212="",E212=""),"",IF(E212=3,MAX(1,C212-2),IF(E212=2,MAX(1,C212-1),IF(AND(C211=C212,C210=C212,E211&lt;&gt;"",E210&lt;&gt;"",E211&lt;=1,E210&lt;=1),MIN(20,C212+1),C212))))</f>
        <v/>
      </c>
      <c r="I212" s="22" t="str">
        <f aca="false">IF(H212="","",IF(H212&gt;C212,"Suba para o degrau "&amp;H212&amp;" ("&amp;INDEX(Degraus!$B$5:$B$24,H212)&amp;")",IF(H212&lt;C212,"Desça para o degrau "&amp;H212&amp;" ("&amp;INDEX(Degraus!$B$5:$B$24,H212)&amp;")","Repita o degrau "&amp;C212&amp;" até 3 sessões calmas seguidas")))</f>
        <v/>
      </c>
    </row>
    <row r="213" customFormat="false" ht="15" hidden="false" customHeight="false" outlineLevel="0" collapsed="false">
      <c r="A213" s="18" t="str">
        <f aca="false">IF(B213="","",ROW()-4)</f>
        <v/>
      </c>
      <c r="B213" s="19"/>
      <c r="C213" s="20"/>
      <c r="D213" s="18" t="str">
        <f aca="false">IF(C213="","",INDEX(Degraus!$B$5:$B$24,C213))</f>
        <v/>
      </c>
      <c r="E213" s="20"/>
      <c r="F213" s="21"/>
      <c r="G213" s="18" t="str">
        <f aca="false">IF(B213="","",INT((B213-MIN($B$5:$B$304))/7)+1)</f>
        <v/>
      </c>
      <c r="H213" s="18" t="str">
        <f aca="false">IF(OR(C213="",E213=""),"",IF(E213=3,MAX(1,C213-2),IF(E213=2,MAX(1,C213-1),IF(AND(C212=C213,C211=C213,E212&lt;&gt;"",E211&lt;&gt;"",E212&lt;=1,E211&lt;=1),MIN(20,C213+1),C213))))</f>
        <v/>
      </c>
      <c r="I213" s="22" t="str">
        <f aca="false">IF(H213="","",IF(H213&gt;C213,"Suba para o degrau "&amp;H213&amp;" ("&amp;INDEX(Degraus!$B$5:$B$24,H213)&amp;")",IF(H213&lt;C213,"Desça para o degrau "&amp;H213&amp;" ("&amp;INDEX(Degraus!$B$5:$B$24,H213)&amp;")","Repita o degrau "&amp;C213&amp;" até 3 sessões calmas seguidas")))</f>
        <v/>
      </c>
    </row>
    <row r="214" customFormat="false" ht="15" hidden="false" customHeight="false" outlineLevel="0" collapsed="false">
      <c r="A214" s="18" t="str">
        <f aca="false">IF(B214="","",ROW()-4)</f>
        <v/>
      </c>
      <c r="B214" s="19"/>
      <c r="C214" s="20"/>
      <c r="D214" s="18" t="str">
        <f aca="false">IF(C214="","",INDEX(Degraus!$B$5:$B$24,C214))</f>
        <v/>
      </c>
      <c r="E214" s="20"/>
      <c r="F214" s="21"/>
      <c r="G214" s="18" t="str">
        <f aca="false">IF(B214="","",INT((B214-MIN($B$5:$B$304))/7)+1)</f>
        <v/>
      </c>
      <c r="H214" s="18" t="str">
        <f aca="false">IF(OR(C214="",E214=""),"",IF(E214=3,MAX(1,C214-2),IF(E214=2,MAX(1,C214-1),IF(AND(C213=C214,C212=C214,E213&lt;&gt;"",E212&lt;&gt;"",E213&lt;=1,E212&lt;=1),MIN(20,C214+1),C214))))</f>
        <v/>
      </c>
      <c r="I214" s="22" t="str">
        <f aca="false">IF(H214="","",IF(H214&gt;C214,"Suba para o degrau "&amp;H214&amp;" ("&amp;INDEX(Degraus!$B$5:$B$24,H214)&amp;")",IF(H214&lt;C214,"Desça para o degrau "&amp;H214&amp;" ("&amp;INDEX(Degraus!$B$5:$B$24,H214)&amp;")","Repita o degrau "&amp;C214&amp;" até 3 sessões calmas seguidas")))</f>
        <v/>
      </c>
    </row>
    <row r="215" customFormat="false" ht="15" hidden="false" customHeight="false" outlineLevel="0" collapsed="false">
      <c r="A215" s="18" t="str">
        <f aca="false">IF(B215="","",ROW()-4)</f>
        <v/>
      </c>
      <c r="B215" s="19"/>
      <c r="C215" s="20"/>
      <c r="D215" s="18" t="str">
        <f aca="false">IF(C215="","",INDEX(Degraus!$B$5:$B$24,C215))</f>
        <v/>
      </c>
      <c r="E215" s="20"/>
      <c r="F215" s="21"/>
      <c r="G215" s="18" t="str">
        <f aca="false">IF(B215="","",INT((B215-MIN($B$5:$B$304))/7)+1)</f>
        <v/>
      </c>
      <c r="H215" s="18" t="str">
        <f aca="false">IF(OR(C215="",E215=""),"",IF(E215=3,MAX(1,C215-2),IF(E215=2,MAX(1,C215-1),IF(AND(C214=C215,C213=C215,E214&lt;&gt;"",E213&lt;&gt;"",E214&lt;=1,E213&lt;=1),MIN(20,C215+1),C215))))</f>
        <v/>
      </c>
      <c r="I215" s="22" t="str">
        <f aca="false">IF(H215="","",IF(H215&gt;C215,"Suba para o degrau "&amp;H215&amp;" ("&amp;INDEX(Degraus!$B$5:$B$24,H215)&amp;")",IF(H215&lt;C215,"Desça para o degrau "&amp;H215&amp;" ("&amp;INDEX(Degraus!$B$5:$B$24,H215)&amp;")","Repita o degrau "&amp;C215&amp;" até 3 sessões calmas seguidas")))</f>
        <v/>
      </c>
    </row>
    <row r="216" customFormat="false" ht="15" hidden="false" customHeight="false" outlineLevel="0" collapsed="false">
      <c r="A216" s="18" t="str">
        <f aca="false">IF(B216="","",ROW()-4)</f>
        <v/>
      </c>
      <c r="B216" s="19"/>
      <c r="C216" s="20"/>
      <c r="D216" s="18" t="str">
        <f aca="false">IF(C216="","",INDEX(Degraus!$B$5:$B$24,C216))</f>
        <v/>
      </c>
      <c r="E216" s="20"/>
      <c r="F216" s="21"/>
      <c r="G216" s="18" t="str">
        <f aca="false">IF(B216="","",INT((B216-MIN($B$5:$B$304))/7)+1)</f>
        <v/>
      </c>
      <c r="H216" s="18" t="str">
        <f aca="false">IF(OR(C216="",E216=""),"",IF(E216=3,MAX(1,C216-2),IF(E216=2,MAX(1,C216-1),IF(AND(C215=C216,C214=C216,E215&lt;&gt;"",E214&lt;&gt;"",E215&lt;=1,E214&lt;=1),MIN(20,C216+1),C216))))</f>
        <v/>
      </c>
      <c r="I216" s="22" t="str">
        <f aca="false">IF(H216="","",IF(H216&gt;C216,"Suba para o degrau "&amp;H216&amp;" ("&amp;INDEX(Degraus!$B$5:$B$24,H216)&amp;")",IF(H216&lt;C216,"Desça para o degrau "&amp;H216&amp;" ("&amp;INDEX(Degraus!$B$5:$B$24,H216)&amp;")","Repita o degrau "&amp;C216&amp;" até 3 sessões calmas seguidas")))</f>
        <v/>
      </c>
    </row>
    <row r="217" customFormat="false" ht="15" hidden="false" customHeight="false" outlineLevel="0" collapsed="false">
      <c r="A217" s="18" t="str">
        <f aca="false">IF(B217="","",ROW()-4)</f>
        <v/>
      </c>
      <c r="B217" s="19"/>
      <c r="C217" s="20"/>
      <c r="D217" s="18" t="str">
        <f aca="false">IF(C217="","",INDEX(Degraus!$B$5:$B$24,C217))</f>
        <v/>
      </c>
      <c r="E217" s="20"/>
      <c r="F217" s="21"/>
      <c r="G217" s="18" t="str">
        <f aca="false">IF(B217="","",INT((B217-MIN($B$5:$B$304))/7)+1)</f>
        <v/>
      </c>
      <c r="H217" s="18" t="str">
        <f aca="false">IF(OR(C217="",E217=""),"",IF(E217=3,MAX(1,C217-2),IF(E217=2,MAX(1,C217-1),IF(AND(C216=C217,C215=C217,E216&lt;&gt;"",E215&lt;&gt;"",E216&lt;=1,E215&lt;=1),MIN(20,C217+1),C217))))</f>
        <v/>
      </c>
      <c r="I217" s="22" t="str">
        <f aca="false">IF(H217="","",IF(H217&gt;C217,"Suba para o degrau "&amp;H217&amp;" ("&amp;INDEX(Degraus!$B$5:$B$24,H217)&amp;")",IF(H217&lt;C217,"Desça para o degrau "&amp;H217&amp;" ("&amp;INDEX(Degraus!$B$5:$B$24,H217)&amp;")","Repita o degrau "&amp;C217&amp;" até 3 sessões calmas seguidas")))</f>
        <v/>
      </c>
    </row>
    <row r="218" customFormat="false" ht="15" hidden="false" customHeight="false" outlineLevel="0" collapsed="false">
      <c r="A218" s="18" t="str">
        <f aca="false">IF(B218="","",ROW()-4)</f>
        <v/>
      </c>
      <c r="B218" s="19"/>
      <c r="C218" s="20"/>
      <c r="D218" s="18" t="str">
        <f aca="false">IF(C218="","",INDEX(Degraus!$B$5:$B$24,C218))</f>
        <v/>
      </c>
      <c r="E218" s="20"/>
      <c r="F218" s="21"/>
      <c r="G218" s="18" t="str">
        <f aca="false">IF(B218="","",INT((B218-MIN($B$5:$B$304))/7)+1)</f>
        <v/>
      </c>
      <c r="H218" s="18" t="str">
        <f aca="false">IF(OR(C218="",E218=""),"",IF(E218=3,MAX(1,C218-2),IF(E218=2,MAX(1,C218-1),IF(AND(C217=C218,C216=C218,E217&lt;&gt;"",E216&lt;&gt;"",E217&lt;=1,E216&lt;=1),MIN(20,C218+1),C218))))</f>
        <v/>
      </c>
      <c r="I218" s="22" t="str">
        <f aca="false">IF(H218="","",IF(H218&gt;C218,"Suba para o degrau "&amp;H218&amp;" ("&amp;INDEX(Degraus!$B$5:$B$24,H218)&amp;")",IF(H218&lt;C218,"Desça para o degrau "&amp;H218&amp;" ("&amp;INDEX(Degraus!$B$5:$B$24,H218)&amp;")","Repita o degrau "&amp;C218&amp;" até 3 sessões calmas seguidas")))</f>
        <v/>
      </c>
    </row>
    <row r="219" customFormat="false" ht="15" hidden="false" customHeight="false" outlineLevel="0" collapsed="false">
      <c r="A219" s="18" t="str">
        <f aca="false">IF(B219="","",ROW()-4)</f>
        <v/>
      </c>
      <c r="B219" s="19"/>
      <c r="C219" s="20"/>
      <c r="D219" s="18" t="str">
        <f aca="false">IF(C219="","",INDEX(Degraus!$B$5:$B$24,C219))</f>
        <v/>
      </c>
      <c r="E219" s="20"/>
      <c r="F219" s="21"/>
      <c r="G219" s="18" t="str">
        <f aca="false">IF(B219="","",INT((B219-MIN($B$5:$B$304))/7)+1)</f>
        <v/>
      </c>
      <c r="H219" s="18" t="str">
        <f aca="false">IF(OR(C219="",E219=""),"",IF(E219=3,MAX(1,C219-2),IF(E219=2,MAX(1,C219-1),IF(AND(C218=C219,C217=C219,E218&lt;&gt;"",E217&lt;&gt;"",E218&lt;=1,E217&lt;=1),MIN(20,C219+1),C219))))</f>
        <v/>
      </c>
      <c r="I219" s="22" t="str">
        <f aca="false">IF(H219="","",IF(H219&gt;C219,"Suba para o degrau "&amp;H219&amp;" ("&amp;INDEX(Degraus!$B$5:$B$24,H219)&amp;")",IF(H219&lt;C219,"Desça para o degrau "&amp;H219&amp;" ("&amp;INDEX(Degraus!$B$5:$B$24,H219)&amp;")","Repita o degrau "&amp;C219&amp;" até 3 sessões calmas seguidas")))</f>
        <v/>
      </c>
    </row>
    <row r="220" customFormat="false" ht="15" hidden="false" customHeight="false" outlineLevel="0" collapsed="false">
      <c r="A220" s="18" t="str">
        <f aca="false">IF(B220="","",ROW()-4)</f>
        <v/>
      </c>
      <c r="B220" s="19"/>
      <c r="C220" s="20"/>
      <c r="D220" s="18" t="str">
        <f aca="false">IF(C220="","",INDEX(Degraus!$B$5:$B$24,C220))</f>
        <v/>
      </c>
      <c r="E220" s="20"/>
      <c r="F220" s="21"/>
      <c r="G220" s="18" t="str">
        <f aca="false">IF(B220="","",INT((B220-MIN($B$5:$B$304))/7)+1)</f>
        <v/>
      </c>
      <c r="H220" s="18" t="str">
        <f aca="false">IF(OR(C220="",E220=""),"",IF(E220=3,MAX(1,C220-2),IF(E220=2,MAX(1,C220-1),IF(AND(C219=C220,C218=C220,E219&lt;&gt;"",E218&lt;&gt;"",E219&lt;=1,E218&lt;=1),MIN(20,C220+1),C220))))</f>
        <v/>
      </c>
      <c r="I220" s="22" t="str">
        <f aca="false">IF(H220="","",IF(H220&gt;C220,"Suba para o degrau "&amp;H220&amp;" ("&amp;INDEX(Degraus!$B$5:$B$24,H220)&amp;")",IF(H220&lt;C220,"Desça para o degrau "&amp;H220&amp;" ("&amp;INDEX(Degraus!$B$5:$B$24,H220)&amp;")","Repita o degrau "&amp;C220&amp;" até 3 sessões calmas seguidas")))</f>
        <v/>
      </c>
    </row>
    <row r="221" customFormat="false" ht="15" hidden="false" customHeight="false" outlineLevel="0" collapsed="false">
      <c r="A221" s="18" t="str">
        <f aca="false">IF(B221="","",ROW()-4)</f>
        <v/>
      </c>
      <c r="B221" s="19"/>
      <c r="C221" s="20"/>
      <c r="D221" s="18" t="str">
        <f aca="false">IF(C221="","",INDEX(Degraus!$B$5:$B$24,C221))</f>
        <v/>
      </c>
      <c r="E221" s="20"/>
      <c r="F221" s="21"/>
      <c r="G221" s="18" t="str">
        <f aca="false">IF(B221="","",INT((B221-MIN($B$5:$B$304))/7)+1)</f>
        <v/>
      </c>
      <c r="H221" s="18" t="str">
        <f aca="false">IF(OR(C221="",E221=""),"",IF(E221=3,MAX(1,C221-2),IF(E221=2,MAX(1,C221-1),IF(AND(C220=C221,C219=C221,E220&lt;&gt;"",E219&lt;&gt;"",E220&lt;=1,E219&lt;=1),MIN(20,C221+1),C221))))</f>
        <v/>
      </c>
      <c r="I221" s="22" t="str">
        <f aca="false">IF(H221="","",IF(H221&gt;C221,"Suba para o degrau "&amp;H221&amp;" ("&amp;INDEX(Degraus!$B$5:$B$24,H221)&amp;")",IF(H221&lt;C221,"Desça para o degrau "&amp;H221&amp;" ("&amp;INDEX(Degraus!$B$5:$B$24,H221)&amp;")","Repita o degrau "&amp;C221&amp;" até 3 sessões calmas seguidas")))</f>
        <v/>
      </c>
    </row>
    <row r="222" customFormat="false" ht="15" hidden="false" customHeight="false" outlineLevel="0" collapsed="false">
      <c r="A222" s="18" t="str">
        <f aca="false">IF(B222="","",ROW()-4)</f>
        <v/>
      </c>
      <c r="B222" s="19"/>
      <c r="C222" s="20"/>
      <c r="D222" s="18" t="str">
        <f aca="false">IF(C222="","",INDEX(Degraus!$B$5:$B$24,C222))</f>
        <v/>
      </c>
      <c r="E222" s="20"/>
      <c r="F222" s="21"/>
      <c r="G222" s="18" t="str">
        <f aca="false">IF(B222="","",INT((B222-MIN($B$5:$B$304))/7)+1)</f>
        <v/>
      </c>
      <c r="H222" s="18" t="str">
        <f aca="false">IF(OR(C222="",E222=""),"",IF(E222=3,MAX(1,C222-2),IF(E222=2,MAX(1,C222-1),IF(AND(C221=C222,C220=C222,E221&lt;&gt;"",E220&lt;&gt;"",E221&lt;=1,E220&lt;=1),MIN(20,C222+1),C222))))</f>
        <v/>
      </c>
      <c r="I222" s="22" t="str">
        <f aca="false">IF(H222="","",IF(H222&gt;C222,"Suba para o degrau "&amp;H222&amp;" ("&amp;INDEX(Degraus!$B$5:$B$24,H222)&amp;")",IF(H222&lt;C222,"Desça para o degrau "&amp;H222&amp;" ("&amp;INDEX(Degraus!$B$5:$B$24,H222)&amp;")","Repita o degrau "&amp;C222&amp;" até 3 sessões calmas seguidas")))</f>
        <v/>
      </c>
    </row>
    <row r="223" customFormat="false" ht="15" hidden="false" customHeight="false" outlineLevel="0" collapsed="false">
      <c r="A223" s="18" t="str">
        <f aca="false">IF(B223="","",ROW()-4)</f>
        <v/>
      </c>
      <c r="B223" s="19"/>
      <c r="C223" s="20"/>
      <c r="D223" s="18" t="str">
        <f aca="false">IF(C223="","",INDEX(Degraus!$B$5:$B$24,C223))</f>
        <v/>
      </c>
      <c r="E223" s="20"/>
      <c r="F223" s="21"/>
      <c r="G223" s="18" t="str">
        <f aca="false">IF(B223="","",INT((B223-MIN($B$5:$B$304))/7)+1)</f>
        <v/>
      </c>
      <c r="H223" s="18" t="str">
        <f aca="false">IF(OR(C223="",E223=""),"",IF(E223=3,MAX(1,C223-2),IF(E223=2,MAX(1,C223-1),IF(AND(C222=C223,C221=C223,E222&lt;&gt;"",E221&lt;&gt;"",E222&lt;=1,E221&lt;=1),MIN(20,C223+1),C223))))</f>
        <v/>
      </c>
      <c r="I223" s="22" t="str">
        <f aca="false">IF(H223="","",IF(H223&gt;C223,"Suba para o degrau "&amp;H223&amp;" ("&amp;INDEX(Degraus!$B$5:$B$24,H223)&amp;")",IF(H223&lt;C223,"Desça para o degrau "&amp;H223&amp;" ("&amp;INDEX(Degraus!$B$5:$B$24,H223)&amp;")","Repita o degrau "&amp;C223&amp;" até 3 sessões calmas seguidas")))</f>
        <v/>
      </c>
    </row>
    <row r="224" customFormat="false" ht="15" hidden="false" customHeight="false" outlineLevel="0" collapsed="false">
      <c r="A224" s="18" t="str">
        <f aca="false">IF(B224="","",ROW()-4)</f>
        <v/>
      </c>
      <c r="B224" s="19"/>
      <c r="C224" s="20"/>
      <c r="D224" s="18" t="str">
        <f aca="false">IF(C224="","",INDEX(Degraus!$B$5:$B$24,C224))</f>
        <v/>
      </c>
      <c r="E224" s="20"/>
      <c r="F224" s="21"/>
      <c r="G224" s="18" t="str">
        <f aca="false">IF(B224="","",INT((B224-MIN($B$5:$B$304))/7)+1)</f>
        <v/>
      </c>
      <c r="H224" s="18" t="str">
        <f aca="false">IF(OR(C224="",E224=""),"",IF(E224=3,MAX(1,C224-2),IF(E224=2,MAX(1,C224-1),IF(AND(C223=C224,C222=C224,E223&lt;&gt;"",E222&lt;&gt;"",E223&lt;=1,E222&lt;=1),MIN(20,C224+1),C224))))</f>
        <v/>
      </c>
      <c r="I224" s="22" t="str">
        <f aca="false">IF(H224="","",IF(H224&gt;C224,"Suba para o degrau "&amp;H224&amp;" ("&amp;INDEX(Degraus!$B$5:$B$24,H224)&amp;")",IF(H224&lt;C224,"Desça para o degrau "&amp;H224&amp;" ("&amp;INDEX(Degraus!$B$5:$B$24,H224)&amp;")","Repita o degrau "&amp;C224&amp;" até 3 sessões calmas seguidas")))</f>
        <v/>
      </c>
    </row>
    <row r="225" customFormat="false" ht="15" hidden="false" customHeight="false" outlineLevel="0" collapsed="false">
      <c r="A225" s="18" t="str">
        <f aca="false">IF(B225="","",ROW()-4)</f>
        <v/>
      </c>
      <c r="B225" s="19"/>
      <c r="C225" s="20"/>
      <c r="D225" s="18" t="str">
        <f aca="false">IF(C225="","",INDEX(Degraus!$B$5:$B$24,C225))</f>
        <v/>
      </c>
      <c r="E225" s="20"/>
      <c r="F225" s="21"/>
      <c r="G225" s="18" t="str">
        <f aca="false">IF(B225="","",INT((B225-MIN($B$5:$B$304))/7)+1)</f>
        <v/>
      </c>
      <c r="H225" s="18" t="str">
        <f aca="false">IF(OR(C225="",E225=""),"",IF(E225=3,MAX(1,C225-2),IF(E225=2,MAX(1,C225-1),IF(AND(C224=C225,C223=C225,E224&lt;&gt;"",E223&lt;&gt;"",E224&lt;=1,E223&lt;=1),MIN(20,C225+1),C225))))</f>
        <v/>
      </c>
      <c r="I225" s="22" t="str">
        <f aca="false">IF(H225="","",IF(H225&gt;C225,"Suba para o degrau "&amp;H225&amp;" ("&amp;INDEX(Degraus!$B$5:$B$24,H225)&amp;")",IF(H225&lt;C225,"Desça para o degrau "&amp;H225&amp;" ("&amp;INDEX(Degraus!$B$5:$B$24,H225)&amp;")","Repita o degrau "&amp;C225&amp;" até 3 sessões calmas seguidas")))</f>
        <v/>
      </c>
    </row>
    <row r="226" customFormat="false" ht="15" hidden="false" customHeight="false" outlineLevel="0" collapsed="false">
      <c r="A226" s="18" t="str">
        <f aca="false">IF(B226="","",ROW()-4)</f>
        <v/>
      </c>
      <c r="B226" s="19"/>
      <c r="C226" s="20"/>
      <c r="D226" s="18" t="str">
        <f aca="false">IF(C226="","",INDEX(Degraus!$B$5:$B$24,C226))</f>
        <v/>
      </c>
      <c r="E226" s="20"/>
      <c r="F226" s="21"/>
      <c r="G226" s="18" t="str">
        <f aca="false">IF(B226="","",INT((B226-MIN($B$5:$B$304))/7)+1)</f>
        <v/>
      </c>
      <c r="H226" s="18" t="str">
        <f aca="false">IF(OR(C226="",E226=""),"",IF(E226=3,MAX(1,C226-2),IF(E226=2,MAX(1,C226-1),IF(AND(C225=C226,C224=C226,E225&lt;&gt;"",E224&lt;&gt;"",E225&lt;=1,E224&lt;=1),MIN(20,C226+1),C226))))</f>
        <v/>
      </c>
      <c r="I226" s="22" t="str">
        <f aca="false">IF(H226="","",IF(H226&gt;C226,"Suba para o degrau "&amp;H226&amp;" ("&amp;INDEX(Degraus!$B$5:$B$24,H226)&amp;")",IF(H226&lt;C226,"Desça para o degrau "&amp;H226&amp;" ("&amp;INDEX(Degraus!$B$5:$B$24,H226)&amp;")","Repita o degrau "&amp;C226&amp;" até 3 sessões calmas seguidas")))</f>
        <v/>
      </c>
    </row>
    <row r="227" customFormat="false" ht="15" hidden="false" customHeight="false" outlineLevel="0" collapsed="false">
      <c r="A227" s="18" t="str">
        <f aca="false">IF(B227="","",ROW()-4)</f>
        <v/>
      </c>
      <c r="B227" s="19"/>
      <c r="C227" s="20"/>
      <c r="D227" s="18" t="str">
        <f aca="false">IF(C227="","",INDEX(Degraus!$B$5:$B$24,C227))</f>
        <v/>
      </c>
      <c r="E227" s="20"/>
      <c r="F227" s="21"/>
      <c r="G227" s="18" t="str">
        <f aca="false">IF(B227="","",INT((B227-MIN($B$5:$B$304))/7)+1)</f>
        <v/>
      </c>
      <c r="H227" s="18" t="str">
        <f aca="false">IF(OR(C227="",E227=""),"",IF(E227=3,MAX(1,C227-2),IF(E227=2,MAX(1,C227-1),IF(AND(C226=C227,C225=C227,E226&lt;&gt;"",E225&lt;&gt;"",E226&lt;=1,E225&lt;=1),MIN(20,C227+1),C227))))</f>
        <v/>
      </c>
      <c r="I227" s="22" t="str">
        <f aca="false">IF(H227="","",IF(H227&gt;C227,"Suba para o degrau "&amp;H227&amp;" ("&amp;INDEX(Degraus!$B$5:$B$24,H227)&amp;")",IF(H227&lt;C227,"Desça para o degrau "&amp;H227&amp;" ("&amp;INDEX(Degraus!$B$5:$B$24,H227)&amp;")","Repita o degrau "&amp;C227&amp;" até 3 sessões calmas seguidas")))</f>
        <v/>
      </c>
    </row>
    <row r="228" customFormat="false" ht="15" hidden="false" customHeight="false" outlineLevel="0" collapsed="false">
      <c r="A228" s="18" t="str">
        <f aca="false">IF(B228="","",ROW()-4)</f>
        <v/>
      </c>
      <c r="B228" s="19"/>
      <c r="C228" s="20"/>
      <c r="D228" s="18" t="str">
        <f aca="false">IF(C228="","",INDEX(Degraus!$B$5:$B$24,C228))</f>
        <v/>
      </c>
      <c r="E228" s="20"/>
      <c r="F228" s="21"/>
      <c r="G228" s="18" t="str">
        <f aca="false">IF(B228="","",INT((B228-MIN($B$5:$B$304))/7)+1)</f>
        <v/>
      </c>
      <c r="H228" s="18" t="str">
        <f aca="false">IF(OR(C228="",E228=""),"",IF(E228=3,MAX(1,C228-2),IF(E228=2,MAX(1,C228-1),IF(AND(C227=C228,C226=C228,E227&lt;&gt;"",E226&lt;&gt;"",E227&lt;=1,E226&lt;=1),MIN(20,C228+1),C228))))</f>
        <v/>
      </c>
      <c r="I228" s="22" t="str">
        <f aca="false">IF(H228="","",IF(H228&gt;C228,"Suba para o degrau "&amp;H228&amp;" ("&amp;INDEX(Degraus!$B$5:$B$24,H228)&amp;")",IF(H228&lt;C228,"Desça para o degrau "&amp;H228&amp;" ("&amp;INDEX(Degraus!$B$5:$B$24,H228)&amp;")","Repita o degrau "&amp;C228&amp;" até 3 sessões calmas seguidas")))</f>
        <v/>
      </c>
    </row>
    <row r="229" customFormat="false" ht="15" hidden="false" customHeight="false" outlineLevel="0" collapsed="false">
      <c r="A229" s="18" t="str">
        <f aca="false">IF(B229="","",ROW()-4)</f>
        <v/>
      </c>
      <c r="B229" s="19"/>
      <c r="C229" s="20"/>
      <c r="D229" s="18" t="str">
        <f aca="false">IF(C229="","",INDEX(Degraus!$B$5:$B$24,C229))</f>
        <v/>
      </c>
      <c r="E229" s="20"/>
      <c r="F229" s="21"/>
      <c r="G229" s="18" t="str">
        <f aca="false">IF(B229="","",INT((B229-MIN($B$5:$B$304))/7)+1)</f>
        <v/>
      </c>
      <c r="H229" s="18" t="str">
        <f aca="false">IF(OR(C229="",E229=""),"",IF(E229=3,MAX(1,C229-2),IF(E229=2,MAX(1,C229-1),IF(AND(C228=C229,C227=C229,E228&lt;&gt;"",E227&lt;&gt;"",E228&lt;=1,E227&lt;=1),MIN(20,C229+1),C229))))</f>
        <v/>
      </c>
      <c r="I229" s="22" t="str">
        <f aca="false">IF(H229="","",IF(H229&gt;C229,"Suba para o degrau "&amp;H229&amp;" ("&amp;INDEX(Degraus!$B$5:$B$24,H229)&amp;")",IF(H229&lt;C229,"Desça para o degrau "&amp;H229&amp;" ("&amp;INDEX(Degraus!$B$5:$B$24,H229)&amp;")","Repita o degrau "&amp;C229&amp;" até 3 sessões calmas seguidas")))</f>
        <v/>
      </c>
    </row>
    <row r="230" customFormat="false" ht="15" hidden="false" customHeight="false" outlineLevel="0" collapsed="false">
      <c r="A230" s="18" t="str">
        <f aca="false">IF(B230="","",ROW()-4)</f>
        <v/>
      </c>
      <c r="B230" s="19"/>
      <c r="C230" s="20"/>
      <c r="D230" s="18" t="str">
        <f aca="false">IF(C230="","",INDEX(Degraus!$B$5:$B$24,C230))</f>
        <v/>
      </c>
      <c r="E230" s="20"/>
      <c r="F230" s="21"/>
      <c r="G230" s="18" t="str">
        <f aca="false">IF(B230="","",INT((B230-MIN($B$5:$B$304))/7)+1)</f>
        <v/>
      </c>
      <c r="H230" s="18" t="str">
        <f aca="false">IF(OR(C230="",E230=""),"",IF(E230=3,MAX(1,C230-2),IF(E230=2,MAX(1,C230-1),IF(AND(C229=C230,C228=C230,E229&lt;&gt;"",E228&lt;&gt;"",E229&lt;=1,E228&lt;=1),MIN(20,C230+1),C230))))</f>
        <v/>
      </c>
      <c r="I230" s="22" t="str">
        <f aca="false">IF(H230="","",IF(H230&gt;C230,"Suba para o degrau "&amp;H230&amp;" ("&amp;INDEX(Degraus!$B$5:$B$24,H230)&amp;")",IF(H230&lt;C230,"Desça para o degrau "&amp;H230&amp;" ("&amp;INDEX(Degraus!$B$5:$B$24,H230)&amp;")","Repita o degrau "&amp;C230&amp;" até 3 sessões calmas seguidas")))</f>
        <v/>
      </c>
    </row>
    <row r="231" customFormat="false" ht="15" hidden="false" customHeight="false" outlineLevel="0" collapsed="false">
      <c r="A231" s="18" t="str">
        <f aca="false">IF(B231="","",ROW()-4)</f>
        <v/>
      </c>
      <c r="B231" s="19"/>
      <c r="C231" s="20"/>
      <c r="D231" s="18" t="str">
        <f aca="false">IF(C231="","",INDEX(Degraus!$B$5:$B$24,C231))</f>
        <v/>
      </c>
      <c r="E231" s="20"/>
      <c r="F231" s="21"/>
      <c r="G231" s="18" t="str">
        <f aca="false">IF(B231="","",INT((B231-MIN($B$5:$B$304))/7)+1)</f>
        <v/>
      </c>
      <c r="H231" s="18" t="str">
        <f aca="false">IF(OR(C231="",E231=""),"",IF(E231=3,MAX(1,C231-2),IF(E231=2,MAX(1,C231-1),IF(AND(C230=C231,C229=C231,E230&lt;&gt;"",E229&lt;&gt;"",E230&lt;=1,E229&lt;=1),MIN(20,C231+1),C231))))</f>
        <v/>
      </c>
      <c r="I231" s="22" t="str">
        <f aca="false">IF(H231="","",IF(H231&gt;C231,"Suba para o degrau "&amp;H231&amp;" ("&amp;INDEX(Degraus!$B$5:$B$24,H231)&amp;")",IF(H231&lt;C231,"Desça para o degrau "&amp;H231&amp;" ("&amp;INDEX(Degraus!$B$5:$B$24,H231)&amp;")","Repita o degrau "&amp;C231&amp;" até 3 sessões calmas seguidas")))</f>
        <v/>
      </c>
    </row>
    <row r="232" customFormat="false" ht="15" hidden="false" customHeight="false" outlineLevel="0" collapsed="false">
      <c r="A232" s="18" t="str">
        <f aca="false">IF(B232="","",ROW()-4)</f>
        <v/>
      </c>
      <c r="B232" s="19"/>
      <c r="C232" s="20"/>
      <c r="D232" s="18" t="str">
        <f aca="false">IF(C232="","",INDEX(Degraus!$B$5:$B$24,C232))</f>
        <v/>
      </c>
      <c r="E232" s="20"/>
      <c r="F232" s="21"/>
      <c r="G232" s="18" t="str">
        <f aca="false">IF(B232="","",INT((B232-MIN($B$5:$B$304))/7)+1)</f>
        <v/>
      </c>
      <c r="H232" s="18" t="str">
        <f aca="false">IF(OR(C232="",E232=""),"",IF(E232=3,MAX(1,C232-2),IF(E232=2,MAX(1,C232-1),IF(AND(C231=C232,C230=C232,E231&lt;&gt;"",E230&lt;&gt;"",E231&lt;=1,E230&lt;=1),MIN(20,C232+1),C232))))</f>
        <v/>
      </c>
      <c r="I232" s="22" t="str">
        <f aca="false">IF(H232="","",IF(H232&gt;C232,"Suba para o degrau "&amp;H232&amp;" ("&amp;INDEX(Degraus!$B$5:$B$24,H232)&amp;")",IF(H232&lt;C232,"Desça para o degrau "&amp;H232&amp;" ("&amp;INDEX(Degraus!$B$5:$B$24,H232)&amp;")","Repita o degrau "&amp;C232&amp;" até 3 sessões calmas seguidas")))</f>
        <v/>
      </c>
    </row>
    <row r="233" customFormat="false" ht="15" hidden="false" customHeight="false" outlineLevel="0" collapsed="false">
      <c r="A233" s="18" t="str">
        <f aca="false">IF(B233="","",ROW()-4)</f>
        <v/>
      </c>
      <c r="B233" s="19"/>
      <c r="C233" s="20"/>
      <c r="D233" s="18" t="str">
        <f aca="false">IF(C233="","",INDEX(Degraus!$B$5:$B$24,C233))</f>
        <v/>
      </c>
      <c r="E233" s="20"/>
      <c r="F233" s="21"/>
      <c r="G233" s="18" t="str">
        <f aca="false">IF(B233="","",INT((B233-MIN($B$5:$B$304))/7)+1)</f>
        <v/>
      </c>
      <c r="H233" s="18" t="str">
        <f aca="false">IF(OR(C233="",E233=""),"",IF(E233=3,MAX(1,C233-2),IF(E233=2,MAX(1,C233-1),IF(AND(C232=C233,C231=C233,E232&lt;&gt;"",E231&lt;&gt;"",E232&lt;=1,E231&lt;=1),MIN(20,C233+1),C233))))</f>
        <v/>
      </c>
      <c r="I233" s="22" t="str">
        <f aca="false">IF(H233="","",IF(H233&gt;C233,"Suba para o degrau "&amp;H233&amp;" ("&amp;INDEX(Degraus!$B$5:$B$24,H233)&amp;")",IF(H233&lt;C233,"Desça para o degrau "&amp;H233&amp;" ("&amp;INDEX(Degraus!$B$5:$B$24,H233)&amp;")","Repita o degrau "&amp;C233&amp;" até 3 sessões calmas seguidas")))</f>
        <v/>
      </c>
    </row>
    <row r="234" customFormat="false" ht="15" hidden="false" customHeight="false" outlineLevel="0" collapsed="false">
      <c r="A234" s="18" t="str">
        <f aca="false">IF(B234="","",ROW()-4)</f>
        <v/>
      </c>
      <c r="B234" s="19"/>
      <c r="C234" s="20"/>
      <c r="D234" s="18" t="str">
        <f aca="false">IF(C234="","",INDEX(Degraus!$B$5:$B$24,C234))</f>
        <v/>
      </c>
      <c r="E234" s="20"/>
      <c r="F234" s="21"/>
      <c r="G234" s="18" t="str">
        <f aca="false">IF(B234="","",INT((B234-MIN($B$5:$B$304))/7)+1)</f>
        <v/>
      </c>
      <c r="H234" s="18" t="str">
        <f aca="false">IF(OR(C234="",E234=""),"",IF(E234=3,MAX(1,C234-2),IF(E234=2,MAX(1,C234-1),IF(AND(C233=C234,C232=C234,E233&lt;&gt;"",E232&lt;&gt;"",E233&lt;=1,E232&lt;=1),MIN(20,C234+1),C234))))</f>
        <v/>
      </c>
      <c r="I234" s="22" t="str">
        <f aca="false">IF(H234="","",IF(H234&gt;C234,"Suba para o degrau "&amp;H234&amp;" ("&amp;INDEX(Degraus!$B$5:$B$24,H234)&amp;")",IF(H234&lt;C234,"Desça para o degrau "&amp;H234&amp;" ("&amp;INDEX(Degraus!$B$5:$B$24,H234)&amp;")","Repita o degrau "&amp;C234&amp;" até 3 sessões calmas seguidas")))</f>
        <v/>
      </c>
    </row>
    <row r="235" customFormat="false" ht="15" hidden="false" customHeight="false" outlineLevel="0" collapsed="false">
      <c r="A235" s="18" t="str">
        <f aca="false">IF(B235="","",ROW()-4)</f>
        <v/>
      </c>
      <c r="B235" s="19"/>
      <c r="C235" s="20"/>
      <c r="D235" s="18" t="str">
        <f aca="false">IF(C235="","",INDEX(Degraus!$B$5:$B$24,C235))</f>
        <v/>
      </c>
      <c r="E235" s="20"/>
      <c r="F235" s="21"/>
      <c r="G235" s="18" t="str">
        <f aca="false">IF(B235="","",INT((B235-MIN($B$5:$B$304))/7)+1)</f>
        <v/>
      </c>
      <c r="H235" s="18" t="str">
        <f aca="false">IF(OR(C235="",E235=""),"",IF(E235=3,MAX(1,C235-2),IF(E235=2,MAX(1,C235-1),IF(AND(C234=C235,C233=C235,E234&lt;&gt;"",E233&lt;&gt;"",E234&lt;=1,E233&lt;=1),MIN(20,C235+1),C235))))</f>
        <v/>
      </c>
      <c r="I235" s="22" t="str">
        <f aca="false">IF(H235="","",IF(H235&gt;C235,"Suba para o degrau "&amp;H235&amp;" ("&amp;INDEX(Degraus!$B$5:$B$24,H235)&amp;")",IF(H235&lt;C235,"Desça para o degrau "&amp;H235&amp;" ("&amp;INDEX(Degraus!$B$5:$B$24,H235)&amp;")","Repita o degrau "&amp;C235&amp;" até 3 sessões calmas seguidas")))</f>
        <v/>
      </c>
    </row>
    <row r="236" customFormat="false" ht="15" hidden="false" customHeight="false" outlineLevel="0" collapsed="false">
      <c r="A236" s="18" t="str">
        <f aca="false">IF(B236="","",ROW()-4)</f>
        <v/>
      </c>
      <c r="B236" s="19"/>
      <c r="C236" s="20"/>
      <c r="D236" s="18" t="str">
        <f aca="false">IF(C236="","",INDEX(Degraus!$B$5:$B$24,C236))</f>
        <v/>
      </c>
      <c r="E236" s="20"/>
      <c r="F236" s="21"/>
      <c r="G236" s="18" t="str">
        <f aca="false">IF(B236="","",INT((B236-MIN($B$5:$B$304))/7)+1)</f>
        <v/>
      </c>
      <c r="H236" s="18" t="str">
        <f aca="false">IF(OR(C236="",E236=""),"",IF(E236=3,MAX(1,C236-2),IF(E236=2,MAX(1,C236-1),IF(AND(C235=C236,C234=C236,E235&lt;&gt;"",E234&lt;&gt;"",E235&lt;=1,E234&lt;=1),MIN(20,C236+1),C236))))</f>
        <v/>
      </c>
      <c r="I236" s="22" t="str">
        <f aca="false">IF(H236="","",IF(H236&gt;C236,"Suba para o degrau "&amp;H236&amp;" ("&amp;INDEX(Degraus!$B$5:$B$24,H236)&amp;")",IF(H236&lt;C236,"Desça para o degrau "&amp;H236&amp;" ("&amp;INDEX(Degraus!$B$5:$B$24,H236)&amp;")","Repita o degrau "&amp;C236&amp;" até 3 sessões calmas seguidas")))</f>
        <v/>
      </c>
    </row>
    <row r="237" customFormat="false" ht="15" hidden="false" customHeight="false" outlineLevel="0" collapsed="false">
      <c r="A237" s="18" t="str">
        <f aca="false">IF(B237="","",ROW()-4)</f>
        <v/>
      </c>
      <c r="B237" s="19"/>
      <c r="C237" s="20"/>
      <c r="D237" s="18" t="str">
        <f aca="false">IF(C237="","",INDEX(Degraus!$B$5:$B$24,C237))</f>
        <v/>
      </c>
      <c r="E237" s="20"/>
      <c r="F237" s="21"/>
      <c r="G237" s="18" t="str">
        <f aca="false">IF(B237="","",INT((B237-MIN($B$5:$B$304))/7)+1)</f>
        <v/>
      </c>
      <c r="H237" s="18" t="str">
        <f aca="false">IF(OR(C237="",E237=""),"",IF(E237=3,MAX(1,C237-2),IF(E237=2,MAX(1,C237-1),IF(AND(C236=C237,C235=C237,E236&lt;&gt;"",E235&lt;&gt;"",E236&lt;=1,E235&lt;=1),MIN(20,C237+1),C237))))</f>
        <v/>
      </c>
      <c r="I237" s="22" t="str">
        <f aca="false">IF(H237="","",IF(H237&gt;C237,"Suba para o degrau "&amp;H237&amp;" ("&amp;INDEX(Degraus!$B$5:$B$24,H237)&amp;")",IF(H237&lt;C237,"Desça para o degrau "&amp;H237&amp;" ("&amp;INDEX(Degraus!$B$5:$B$24,H237)&amp;")","Repita o degrau "&amp;C237&amp;" até 3 sessões calmas seguidas")))</f>
        <v/>
      </c>
    </row>
    <row r="238" customFormat="false" ht="15" hidden="false" customHeight="false" outlineLevel="0" collapsed="false">
      <c r="A238" s="18" t="str">
        <f aca="false">IF(B238="","",ROW()-4)</f>
        <v/>
      </c>
      <c r="B238" s="19"/>
      <c r="C238" s="20"/>
      <c r="D238" s="18" t="str">
        <f aca="false">IF(C238="","",INDEX(Degraus!$B$5:$B$24,C238))</f>
        <v/>
      </c>
      <c r="E238" s="20"/>
      <c r="F238" s="21"/>
      <c r="G238" s="18" t="str">
        <f aca="false">IF(B238="","",INT((B238-MIN($B$5:$B$304))/7)+1)</f>
        <v/>
      </c>
      <c r="H238" s="18" t="str">
        <f aca="false">IF(OR(C238="",E238=""),"",IF(E238=3,MAX(1,C238-2),IF(E238=2,MAX(1,C238-1),IF(AND(C237=C238,C236=C238,E237&lt;&gt;"",E236&lt;&gt;"",E237&lt;=1,E236&lt;=1),MIN(20,C238+1),C238))))</f>
        <v/>
      </c>
      <c r="I238" s="22" t="str">
        <f aca="false">IF(H238="","",IF(H238&gt;C238,"Suba para o degrau "&amp;H238&amp;" ("&amp;INDEX(Degraus!$B$5:$B$24,H238)&amp;")",IF(H238&lt;C238,"Desça para o degrau "&amp;H238&amp;" ("&amp;INDEX(Degraus!$B$5:$B$24,H238)&amp;")","Repita o degrau "&amp;C238&amp;" até 3 sessões calmas seguidas")))</f>
        <v/>
      </c>
    </row>
    <row r="239" customFormat="false" ht="15" hidden="false" customHeight="false" outlineLevel="0" collapsed="false">
      <c r="A239" s="18" t="str">
        <f aca="false">IF(B239="","",ROW()-4)</f>
        <v/>
      </c>
      <c r="B239" s="19"/>
      <c r="C239" s="20"/>
      <c r="D239" s="18" t="str">
        <f aca="false">IF(C239="","",INDEX(Degraus!$B$5:$B$24,C239))</f>
        <v/>
      </c>
      <c r="E239" s="20"/>
      <c r="F239" s="21"/>
      <c r="G239" s="18" t="str">
        <f aca="false">IF(B239="","",INT((B239-MIN($B$5:$B$304))/7)+1)</f>
        <v/>
      </c>
      <c r="H239" s="18" t="str">
        <f aca="false">IF(OR(C239="",E239=""),"",IF(E239=3,MAX(1,C239-2),IF(E239=2,MAX(1,C239-1),IF(AND(C238=C239,C237=C239,E238&lt;&gt;"",E237&lt;&gt;"",E238&lt;=1,E237&lt;=1),MIN(20,C239+1),C239))))</f>
        <v/>
      </c>
      <c r="I239" s="22" t="str">
        <f aca="false">IF(H239="","",IF(H239&gt;C239,"Suba para o degrau "&amp;H239&amp;" ("&amp;INDEX(Degraus!$B$5:$B$24,H239)&amp;")",IF(H239&lt;C239,"Desça para o degrau "&amp;H239&amp;" ("&amp;INDEX(Degraus!$B$5:$B$24,H239)&amp;")","Repita o degrau "&amp;C239&amp;" até 3 sessões calmas seguidas")))</f>
        <v/>
      </c>
    </row>
    <row r="240" customFormat="false" ht="15" hidden="false" customHeight="false" outlineLevel="0" collapsed="false">
      <c r="A240" s="18" t="str">
        <f aca="false">IF(B240="","",ROW()-4)</f>
        <v/>
      </c>
      <c r="B240" s="19"/>
      <c r="C240" s="20"/>
      <c r="D240" s="18" t="str">
        <f aca="false">IF(C240="","",INDEX(Degraus!$B$5:$B$24,C240))</f>
        <v/>
      </c>
      <c r="E240" s="20"/>
      <c r="F240" s="21"/>
      <c r="G240" s="18" t="str">
        <f aca="false">IF(B240="","",INT((B240-MIN($B$5:$B$304))/7)+1)</f>
        <v/>
      </c>
      <c r="H240" s="18" t="str">
        <f aca="false">IF(OR(C240="",E240=""),"",IF(E240=3,MAX(1,C240-2),IF(E240=2,MAX(1,C240-1),IF(AND(C239=C240,C238=C240,E239&lt;&gt;"",E238&lt;&gt;"",E239&lt;=1,E238&lt;=1),MIN(20,C240+1),C240))))</f>
        <v/>
      </c>
      <c r="I240" s="22" t="str">
        <f aca="false">IF(H240="","",IF(H240&gt;C240,"Suba para o degrau "&amp;H240&amp;" ("&amp;INDEX(Degraus!$B$5:$B$24,H240)&amp;")",IF(H240&lt;C240,"Desça para o degrau "&amp;H240&amp;" ("&amp;INDEX(Degraus!$B$5:$B$24,H240)&amp;")","Repita o degrau "&amp;C240&amp;" até 3 sessões calmas seguidas")))</f>
        <v/>
      </c>
    </row>
    <row r="241" customFormat="false" ht="15" hidden="false" customHeight="false" outlineLevel="0" collapsed="false">
      <c r="A241" s="18" t="str">
        <f aca="false">IF(B241="","",ROW()-4)</f>
        <v/>
      </c>
      <c r="B241" s="19"/>
      <c r="C241" s="20"/>
      <c r="D241" s="18" t="str">
        <f aca="false">IF(C241="","",INDEX(Degraus!$B$5:$B$24,C241))</f>
        <v/>
      </c>
      <c r="E241" s="20"/>
      <c r="F241" s="21"/>
      <c r="G241" s="18" t="str">
        <f aca="false">IF(B241="","",INT((B241-MIN($B$5:$B$304))/7)+1)</f>
        <v/>
      </c>
      <c r="H241" s="18" t="str">
        <f aca="false">IF(OR(C241="",E241=""),"",IF(E241=3,MAX(1,C241-2),IF(E241=2,MAX(1,C241-1),IF(AND(C240=C241,C239=C241,E240&lt;&gt;"",E239&lt;&gt;"",E240&lt;=1,E239&lt;=1),MIN(20,C241+1),C241))))</f>
        <v/>
      </c>
      <c r="I241" s="22" t="str">
        <f aca="false">IF(H241="","",IF(H241&gt;C241,"Suba para o degrau "&amp;H241&amp;" ("&amp;INDEX(Degraus!$B$5:$B$24,H241)&amp;")",IF(H241&lt;C241,"Desça para o degrau "&amp;H241&amp;" ("&amp;INDEX(Degraus!$B$5:$B$24,H241)&amp;")","Repita o degrau "&amp;C241&amp;" até 3 sessões calmas seguidas")))</f>
        <v/>
      </c>
    </row>
    <row r="242" customFormat="false" ht="15" hidden="false" customHeight="false" outlineLevel="0" collapsed="false">
      <c r="A242" s="18" t="str">
        <f aca="false">IF(B242="","",ROW()-4)</f>
        <v/>
      </c>
      <c r="B242" s="19"/>
      <c r="C242" s="20"/>
      <c r="D242" s="18" t="str">
        <f aca="false">IF(C242="","",INDEX(Degraus!$B$5:$B$24,C242))</f>
        <v/>
      </c>
      <c r="E242" s="20"/>
      <c r="F242" s="21"/>
      <c r="G242" s="18" t="str">
        <f aca="false">IF(B242="","",INT((B242-MIN($B$5:$B$304))/7)+1)</f>
        <v/>
      </c>
      <c r="H242" s="18" t="str">
        <f aca="false">IF(OR(C242="",E242=""),"",IF(E242=3,MAX(1,C242-2),IF(E242=2,MAX(1,C242-1),IF(AND(C241=C242,C240=C242,E241&lt;&gt;"",E240&lt;&gt;"",E241&lt;=1,E240&lt;=1),MIN(20,C242+1),C242))))</f>
        <v/>
      </c>
      <c r="I242" s="22" t="str">
        <f aca="false">IF(H242="","",IF(H242&gt;C242,"Suba para o degrau "&amp;H242&amp;" ("&amp;INDEX(Degraus!$B$5:$B$24,H242)&amp;")",IF(H242&lt;C242,"Desça para o degrau "&amp;H242&amp;" ("&amp;INDEX(Degraus!$B$5:$B$24,H242)&amp;")","Repita o degrau "&amp;C242&amp;" até 3 sessões calmas seguidas")))</f>
        <v/>
      </c>
    </row>
    <row r="243" customFormat="false" ht="15" hidden="false" customHeight="false" outlineLevel="0" collapsed="false">
      <c r="A243" s="18" t="str">
        <f aca="false">IF(B243="","",ROW()-4)</f>
        <v/>
      </c>
      <c r="B243" s="19"/>
      <c r="C243" s="20"/>
      <c r="D243" s="18" t="str">
        <f aca="false">IF(C243="","",INDEX(Degraus!$B$5:$B$24,C243))</f>
        <v/>
      </c>
      <c r="E243" s="20"/>
      <c r="F243" s="21"/>
      <c r="G243" s="18" t="str">
        <f aca="false">IF(B243="","",INT((B243-MIN($B$5:$B$304))/7)+1)</f>
        <v/>
      </c>
      <c r="H243" s="18" t="str">
        <f aca="false">IF(OR(C243="",E243=""),"",IF(E243=3,MAX(1,C243-2),IF(E243=2,MAX(1,C243-1),IF(AND(C242=C243,C241=C243,E242&lt;&gt;"",E241&lt;&gt;"",E242&lt;=1,E241&lt;=1),MIN(20,C243+1),C243))))</f>
        <v/>
      </c>
      <c r="I243" s="22" t="str">
        <f aca="false">IF(H243="","",IF(H243&gt;C243,"Suba para o degrau "&amp;H243&amp;" ("&amp;INDEX(Degraus!$B$5:$B$24,H243)&amp;")",IF(H243&lt;C243,"Desça para o degrau "&amp;H243&amp;" ("&amp;INDEX(Degraus!$B$5:$B$24,H243)&amp;")","Repita o degrau "&amp;C243&amp;" até 3 sessões calmas seguidas")))</f>
        <v/>
      </c>
    </row>
    <row r="244" customFormat="false" ht="15" hidden="false" customHeight="false" outlineLevel="0" collapsed="false">
      <c r="A244" s="18" t="str">
        <f aca="false">IF(B244="","",ROW()-4)</f>
        <v/>
      </c>
      <c r="B244" s="19"/>
      <c r="C244" s="20"/>
      <c r="D244" s="18" t="str">
        <f aca="false">IF(C244="","",INDEX(Degraus!$B$5:$B$24,C244))</f>
        <v/>
      </c>
      <c r="E244" s="20"/>
      <c r="F244" s="21"/>
      <c r="G244" s="18" t="str">
        <f aca="false">IF(B244="","",INT((B244-MIN($B$5:$B$304))/7)+1)</f>
        <v/>
      </c>
      <c r="H244" s="18" t="str">
        <f aca="false">IF(OR(C244="",E244=""),"",IF(E244=3,MAX(1,C244-2),IF(E244=2,MAX(1,C244-1),IF(AND(C243=C244,C242=C244,E243&lt;&gt;"",E242&lt;&gt;"",E243&lt;=1,E242&lt;=1),MIN(20,C244+1),C244))))</f>
        <v/>
      </c>
      <c r="I244" s="22" t="str">
        <f aca="false">IF(H244="","",IF(H244&gt;C244,"Suba para o degrau "&amp;H244&amp;" ("&amp;INDEX(Degraus!$B$5:$B$24,H244)&amp;")",IF(H244&lt;C244,"Desça para o degrau "&amp;H244&amp;" ("&amp;INDEX(Degraus!$B$5:$B$24,H244)&amp;")","Repita o degrau "&amp;C244&amp;" até 3 sessões calmas seguidas")))</f>
        <v/>
      </c>
    </row>
    <row r="245" customFormat="false" ht="15" hidden="false" customHeight="false" outlineLevel="0" collapsed="false">
      <c r="A245" s="18" t="str">
        <f aca="false">IF(B245="","",ROW()-4)</f>
        <v/>
      </c>
      <c r="B245" s="19"/>
      <c r="C245" s="20"/>
      <c r="D245" s="18" t="str">
        <f aca="false">IF(C245="","",INDEX(Degraus!$B$5:$B$24,C245))</f>
        <v/>
      </c>
      <c r="E245" s="20"/>
      <c r="F245" s="21"/>
      <c r="G245" s="18" t="str">
        <f aca="false">IF(B245="","",INT((B245-MIN($B$5:$B$304))/7)+1)</f>
        <v/>
      </c>
      <c r="H245" s="18" t="str">
        <f aca="false">IF(OR(C245="",E245=""),"",IF(E245=3,MAX(1,C245-2),IF(E245=2,MAX(1,C245-1),IF(AND(C244=C245,C243=C245,E244&lt;&gt;"",E243&lt;&gt;"",E244&lt;=1,E243&lt;=1),MIN(20,C245+1),C245))))</f>
        <v/>
      </c>
      <c r="I245" s="22" t="str">
        <f aca="false">IF(H245="","",IF(H245&gt;C245,"Suba para o degrau "&amp;H245&amp;" ("&amp;INDEX(Degraus!$B$5:$B$24,H245)&amp;")",IF(H245&lt;C245,"Desça para o degrau "&amp;H245&amp;" ("&amp;INDEX(Degraus!$B$5:$B$24,H245)&amp;")","Repita o degrau "&amp;C245&amp;" até 3 sessões calmas seguidas")))</f>
        <v/>
      </c>
    </row>
    <row r="246" customFormat="false" ht="15" hidden="false" customHeight="false" outlineLevel="0" collapsed="false">
      <c r="A246" s="18" t="str">
        <f aca="false">IF(B246="","",ROW()-4)</f>
        <v/>
      </c>
      <c r="B246" s="19"/>
      <c r="C246" s="20"/>
      <c r="D246" s="18" t="str">
        <f aca="false">IF(C246="","",INDEX(Degraus!$B$5:$B$24,C246))</f>
        <v/>
      </c>
      <c r="E246" s="20"/>
      <c r="F246" s="21"/>
      <c r="G246" s="18" t="str">
        <f aca="false">IF(B246="","",INT((B246-MIN($B$5:$B$304))/7)+1)</f>
        <v/>
      </c>
      <c r="H246" s="18" t="str">
        <f aca="false">IF(OR(C246="",E246=""),"",IF(E246=3,MAX(1,C246-2),IF(E246=2,MAX(1,C246-1),IF(AND(C245=C246,C244=C246,E245&lt;&gt;"",E244&lt;&gt;"",E245&lt;=1,E244&lt;=1),MIN(20,C246+1),C246))))</f>
        <v/>
      </c>
      <c r="I246" s="22" t="str">
        <f aca="false">IF(H246="","",IF(H246&gt;C246,"Suba para o degrau "&amp;H246&amp;" ("&amp;INDEX(Degraus!$B$5:$B$24,H246)&amp;")",IF(H246&lt;C246,"Desça para o degrau "&amp;H246&amp;" ("&amp;INDEX(Degraus!$B$5:$B$24,H246)&amp;")","Repita o degrau "&amp;C246&amp;" até 3 sessões calmas seguidas")))</f>
        <v/>
      </c>
    </row>
    <row r="247" customFormat="false" ht="15" hidden="false" customHeight="false" outlineLevel="0" collapsed="false">
      <c r="A247" s="18" t="str">
        <f aca="false">IF(B247="","",ROW()-4)</f>
        <v/>
      </c>
      <c r="B247" s="19"/>
      <c r="C247" s="20"/>
      <c r="D247" s="18" t="str">
        <f aca="false">IF(C247="","",INDEX(Degraus!$B$5:$B$24,C247))</f>
        <v/>
      </c>
      <c r="E247" s="20"/>
      <c r="F247" s="21"/>
      <c r="G247" s="18" t="str">
        <f aca="false">IF(B247="","",INT((B247-MIN($B$5:$B$304))/7)+1)</f>
        <v/>
      </c>
      <c r="H247" s="18" t="str">
        <f aca="false">IF(OR(C247="",E247=""),"",IF(E247=3,MAX(1,C247-2),IF(E247=2,MAX(1,C247-1),IF(AND(C246=C247,C245=C247,E246&lt;&gt;"",E245&lt;&gt;"",E246&lt;=1,E245&lt;=1),MIN(20,C247+1),C247))))</f>
        <v/>
      </c>
      <c r="I247" s="22" t="str">
        <f aca="false">IF(H247="","",IF(H247&gt;C247,"Suba para o degrau "&amp;H247&amp;" ("&amp;INDEX(Degraus!$B$5:$B$24,H247)&amp;")",IF(H247&lt;C247,"Desça para o degrau "&amp;H247&amp;" ("&amp;INDEX(Degraus!$B$5:$B$24,H247)&amp;")","Repita o degrau "&amp;C247&amp;" até 3 sessões calmas seguidas")))</f>
        <v/>
      </c>
    </row>
    <row r="248" customFormat="false" ht="15" hidden="false" customHeight="false" outlineLevel="0" collapsed="false">
      <c r="A248" s="18" t="str">
        <f aca="false">IF(B248="","",ROW()-4)</f>
        <v/>
      </c>
      <c r="B248" s="19"/>
      <c r="C248" s="20"/>
      <c r="D248" s="18" t="str">
        <f aca="false">IF(C248="","",INDEX(Degraus!$B$5:$B$24,C248))</f>
        <v/>
      </c>
      <c r="E248" s="20"/>
      <c r="F248" s="21"/>
      <c r="G248" s="18" t="str">
        <f aca="false">IF(B248="","",INT((B248-MIN($B$5:$B$304))/7)+1)</f>
        <v/>
      </c>
      <c r="H248" s="18" t="str">
        <f aca="false">IF(OR(C248="",E248=""),"",IF(E248=3,MAX(1,C248-2),IF(E248=2,MAX(1,C248-1),IF(AND(C247=C248,C246=C248,E247&lt;&gt;"",E246&lt;&gt;"",E247&lt;=1,E246&lt;=1),MIN(20,C248+1),C248))))</f>
        <v/>
      </c>
      <c r="I248" s="22" t="str">
        <f aca="false">IF(H248="","",IF(H248&gt;C248,"Suba para o degrau "&amp;H248&amp;" ("&amp;INDEX(Degraus!$B$5:$B$24,H248)&amp;")",IF(H248&lt;C248,"Desça para o degrau "&amp;H248&amp;" ("&amp;INDEX(Degraus!$B$5:$B$24,H248)&amp;")","Repita o degrau "&amp;C248&amp;" até 3 sessões calmas seguidas")))</f>
        <v/>
      </c>
    </row>
    <row r="249" customFormat="false" ht="15" hidden="false" customHeight="false" outlineLevel="0" collapsed="false">
      <c r="A249" s="18" t="str">
        <f aca="false">IF(B249="","",ROW()-4)</f>
        <v/>
      </c>
      <c r="B249" s="19"/>
      <c r="C249" s="20"/>
      <c r="D249" s="18" t="str">
        <f aca="false">IF(C249="","",INDEX(Degraus!$B$5:$B$24,C249))</f>
        <v/>
      </c>
      <c r="E249" s="20"/>
      <c r="F249" s="21"/>
      <c r="G249" s="18" t="str">
        <f aca="false">IF(B249="","",INT((B249-MIN($B$5:$B$304))/7)+1)</f>
        <v/>
      </c>
      <c r="H249" s="18" t="str">
        <f aca="false">IF(OR(C249="",E249=""),"",IF(E249=3,MAX(1,C249-2),IF(E249=2,MAX(1,C249-1),IF(AND(C248=C249,C247=C249,E248&lt;&gt;"",E247&lt;&gt;"",E248&lt;=1,E247&lt;=1),MIN(20,C249+1),C249))))</f>
        <v/>
      </c>
      <c r="I249" s="22" t="str">
        <f aca="false">IF(H249="","",IF(H249&gt;C249,"Suba para o degrau "&amp;H249&amp;" ("&amp;INDEX(Degraus!$B$5:$B$24,H249)&amp;")",IF(H249&lt;C249,"Desça para o degrau "&amp;H249&amp;" ("&amp;INDEX(Degraus!$B$5:$B$24,H249)&amp;")","Repita o degrau "&amp;C249&amp;" até 3 sessões calmas seguidas")))</f>
        <v/>
      </c>
    </row>
    <row r="250" customFormat="false" ht="15" hidden="false" customHeight="false" outlineLevel="0" collapsed="false">
      <c r="A250" s="18" t="str">
        <f aca="false">IF(B250="","",ROW()-4)</f>
        <v/>
      </c>
      <c r="B250" s="19"/>
      <c r="C250" s="20"/>
      <c r="D250" s="18" t="str">
        <f aca="false">IF(C250="","",INDEX(Degraus!$B$5:$B$24,C250))</f>
        <v/>
      </c>
      <c r="E250" s="20"/>
      <c r="F250" s="21"/>
      <c r="G250" s="18" t="str">
        <f aca="false">IF(B250="","",INT((B250-MIN($B$5:$B$304))/7)+1)</f>
        <v/>
      </c>
      <c r="H250" s="18" t="str">
        <f aca="false">IF(OR(C250="",E250=""),"",IF(E250=3,MAX(1,C250-2),IF(E250=2,MAX(1,C250-1),IF(AND(C249=C250,C248=C250,E249&lt;&gt;"",E248&lt;&gt;"",E249&lt;=1,E248&lt;=1),MIN(20,C250+1),C250))))</f>
        <v/>
      </c>
      <c r="I250" s="22" t="str">
        <f aca="false">IF(H250="","",IF(H250&gt;C250,"Suba para o degrau "&amp;H250&amp;" ("&amp;INDEX(Degraus!$B$5:$B$24,H250)&amp;")",IF(H250&lt;C250,"Desça para o degrau "&amp;H250&amp;" ("&amp;INDEX(Degraus!$B$5:$B$24,H250)&amp;")","Repita o degrau "&amp;C250&amp;" até 3 sessões calmas seguidas")))</f>
        <v/>
      </c>
    </row>
    <row r="251" customFormat="false" ht="15" hidden="false" customHeight="false" outlineLevel="0" collapsed="false">
      <c r="A251" s="18" t="str">
        <f aca="false">IF(B251="","",ROW()-4)</f>
        <v/>
      </c>
      <c r="B251" s="19"/>
      <c r="C251" s="20"/>
      <c r="D251" s="18" t="str">
        <f aca="false">IF(C251="","",INDEX(Degraus!$B$5:$B$24,C251))</f>
        <v/>
      </c>
      <c r="E251" s="20"/>
      <c r="F251" s="21"/>
      <c r="G251" s="18" t="str">
        <f aca="false">IF(B251="","",INT((B251-MIN($B$5:$B$304))/7)+1)</f>
        <v/>
      </c>
      <c r="H251" s="18" t="str">
        <f aca="false">IF(OR(C251="",E251=""),"",IF(E251=3,MAX(1,C251-2),IF(E251=2,MAX(1,C251-1),IF(AND(C250=C251,C249=C251,E250&lt;&gt;"",E249&lt;&gt;"",E250&lt;=1,E249&lt;=1),MIN(20,C251+1),C251))))</f>
        <v/>
      </c>
      <c r="I251" s="22" t="str">
        <f aca="false">IF(H251="","",IF(H251&gt;C251,"Suba para o degrau "&amp;H251&amp;" ("&amp;INDEX(Degraus!$B$5:$B$24,H251)&amp;")",IF(H251&lt;C251,"Desça para o degrau "&amp;H251&amp;" ("&amp;INDEX(Degraus!$B$5:$B$24,H251)&amp;")","Repita o degrau "&amp;C251&amp;" até 3 sessões calmas seguidas")))</f>
        <v/>
      </c>
    </row>
    <row r="252" customFormat="false" ht="15" hidden="false" customHeight="false" outlineLevel="0" collapsed="false">
      <c r="A252" s="18" t="str">
        <f aca="false">IF(B252="","",ROW()-4)</f>
        <v/>
      </c>
      <c r="B252" s="19"/>
      <c r="C252" s="20"/>
      <c r="D252" s="18" t="str">
        <f aca="false">IF(C252="","",INDEX(Degraus!$B$5:$B$24,C252))</f>
        <v/>
      </c>
      <c r="E252" s="20"/>
      <c r="F252" s="21"/>
      <c r="G252" s="18" t="str">
        <f aca="false">IF(B252="","",INT((B252-MIN($B$5:$B$304))/7)+1)</f>
        <v/>
      </c>
      <c r="H252" s="18" t="str">
        <f aca="false">IF(OR(C252="",E252=""),"",IF(E252=3,MAX(1,C252-2),IF(E252=2,MAX(1,C252-1),IF(AND(C251=C252,C250=C252,E251&lt;&gt;"",E250&lt;&gt;"",E251&lt;=1,E250&lt;=1),MIN(20,C252+1),C252))))</f>
        <v/>
      </c>
      <c r="I252" s="22" t="str">
        <f aca="false">IF(H252="","",IF(H252&gt;C252,"Suba para o degrau "&amp;H252&amp;" ("&amp;INDEX(Degraus!$B$5:$B$24,H252)&amp;")",IF(H252&lt;C252,"Desça para o degrau "&amp;H252&amp;" ("&amp;INDEX(Degraus!$B$5:$B$24,H252)&amp;")","Repita o degrau "&amp;C252&amp;" até 3 sessões calmas seguidas")))</f>
        <v/>
      </c>
    </row>
    <row r="253" customFormat="false" ht="15" hidden="false" customHeight="false" outlineLevel="0" collapsed="false">
      <c r="A253" s="18" t="str">
        <f aca="false">IF(B253="","",ROW()-4)</f>
        <v/>
      </c>
      <c r="B253" s="19"/>
      <c r="C253" s="20"/>
      <c r="D253" s="18" t="str">
        <f aca="false">IF(C253="","",INDEX(Degraus!$B$5:$B$24,C253))</f>
        <v/>
      </c>
      <c r="E253" s="20"/>
      <c r="F253" s="21"/>
      <c r="G253" s="18" t="str">
        <f aca="false">IF(B253="","",INT((B253-MIN($B$5:$B$304))/7)+1)</f>
        <v/>
      </c>
      <c r="H253" s="18" t="str">
        <f aca="false">IF(OR(C253="",E253=""),"",IF(E253=3,MAX(1,C253-2),IF(E253=2,MAX(1,C253-1),IF(AND(C252=C253,C251=C253,E252&lt;&gt;"",E251&lt;&gt;"",E252&lt;=1,E251&lt;=1),MIN(20,C253+1),C253))))</f>
        <v/>
      </c>
      <c r="I253" s="22" t="str">
        <f aca="false">IF(H253="","",IF(H253&gt;C253,"Suba para o degrau "&amp;H253&amp;" ("&amp;INDEX(Degraus!$B$5:$B$24,H253)&amp;")",IF(H253&lt;C253,"Desça para o degrau "&amp;H253&amp;" ("&amp;INDEX(Degraus!$B$5:$B$24,H253)&amp;")","Repita o degrau "&amp;C253&amp;" até 3 sessões calmas seguidas")))</f>
        <v/>
      </c>
    </row>
    <row r="254" customFormat="false" ht="15" hidden="false" customHeight="false" outlineLevel="0" collapsed="false">
      <c r="A254" s="18" t="str">
        <f aca="false">IF(B254="","",ROW()-4)</f>
        <v/>
      </c>
      <c r="B254" s="19"/>
      <c r="C254" s="20"/>
      <c r="D254" s="18" t="str">
        <f aca="false">IF(C254="","",INDEX(Degraus!$B$5:$B$24,C254))</f>
        <v/>
      </c>
      <c r="E254" s="20"/>
      <c r="F254" s="21"/>
      <c r="G254" s="18" t="str">
        <f aca="false">IF(B254="","",INT((B254-MIN($B$5:$B$304))/7)+1)</f>
        <v/>
      </c>
      <c r="H254" s="18" t="str">
        <f aca="false">IF(OR(C254="",E254=""),"",IF(E254=3,MAX(1,C254-2),IF(E254=2,MAX(1,C254-1),IF(AND(C253=C254,C252=C254,E253&lt;&gt;"",E252&lt;&gt;"",E253&lt;=1,E252&lt;=1),MIN(20,C254+1),C254))))</f>
        <v/>
      </c>
      <c r="I254" s="22" t="str">
        <f aca="false">IF(H254="","",IF(H254&gt;C254,"Suba para o degrau "&amp;H254&amp;" ("&amp;INDEX(Degraus!$B$5:$B$24,H254)&amp;")",IF(H254&lt;C254,"Desça para o degrau "&amp;H254&amp;" ("&amp;INDEX(Degraus!$B$5:$B$24,H254)&amp;")","Repita o degrau "&amp;C254&amp;" até 3 sessões calmas seguidas")))</f>
        <v/>
      </c>
    </row>
    <row r="255" customFormat="false" ht="15" hidden="false" customHeight="false" outlineLevel="0" collapsed="false">
      <c r="A255" s="18" t="str">
        <f aca="false">IF(B255="","",ROW()-4)</f>
        <v/>
      </c>
      <c r="B255" s="19"/>
      <c r="C255" s="20"/>
      <c r="D255" s="18" t="str">
        <f aca="false">IF(C255="","",INDEX(Degraus!$B$5:$B$24,C255))</f>
        <v/>
      </c>
      <c r="E255" s="20"/>
      <c r="F255" s="21"/>
      <c r="G255" s="18" t="str">
        <f aca="false">IF(B255="","",INT((B255-MIN($B$5:$B$304))/7)+1)</f>
        <v/>
      </c>
      <c r="H255" s="18" t="str">
        <f aca="false">IF(OR(C255="",E255=""),"",IF(E255=3,MAX(1,C255-2),IF(E255=2,MAX(1,C255-1),IF(AND(C254=C255,C253=C255,E254&lt;&gt;"",E253&lt;&gt;"",E254&lt;=1,E253&lt;=1),MIN(20,C255+1),C255))))</f>
        <v/>
      </c>
      <c r="I255" s="22" t="str">
        <f aca="false">IF(H255="","",IF(H255&gt;C255,"Suba para o degrau "&amp;H255&amp;" ("&amp;INDEX(Degraus!$B$5:$B$24,H255)&amp;")",IF(H255&lt;C255,"Desça para o degrau "&amp;H255&amp;" ("&amp;INDEX(Degraus!$B$5:$B$24,H255)&amp;")","Repita o degrau "&amp;C255&amp;" até 3 sessões calmas seguidas")))</f>
        <v/>
      </c>
    </row>
    <row r="256" customFormat="false" ht="15" hidden="false" customHeight="false" outlineLevel="0" collapsed="false">
      <c r="A256" s="18" t="str">
        <f aca="false">IF(B256="","",ROW()-4)</f>
        <v/>
      </c>
      <c r="B256" s="19"/>
      <c r="C256" s="20"/>
      <c r="D256" s="18" t="str">
        <f aca="false">IF(C256="","",INDEX(Degraus!$B$5:$B$24,C256))</f>
        <v/>
      </c>
      <c r="E256" s="20"/>
      <c r="F256" s="21"/>
      <c r="G256" s="18" t="str">
        <f aca="false">IF(B256="","",INT((B256-MIN($B$5:$B$304))/7)+1)</f>
        <v/>
      </c>
      <c r="H256" s="18" t="str">
        <f aca="false">IF(OR(C256="",E256=""),"",IF(E256=3,MAX(1,C256-2),IF(E256=2,MAX(1,C256-1),IF(AND(C255=C256,C254=C256,E255&lt;&gt;"",E254&lt;&gt;"",E255&lt;=1,E254&lt;=1),MIN(20,C256+1),C256))))</f>
        <v/>
      </c>
      <c r="I256" s="22" t="str">
        <f aca="false">IF(H256="","",IF(H256&gt;C256,"Suba para o degrau "&amp;H256&amp;" ("&amp;INDEX(Degraus!$B$5:$B$24,H256)&amp;")",IF(H256&lt;C256,"Desça para o degrau "&amp;H256&amp;" ("&amp;INDEX(Degraus!$B$5:$B$24,H256)&amp;")","Repita o degrau "&amp;C256&amp;" até 3 sessões calmas seguidas")))</f>
        <v/>
      </c>
    </row>
    <row r="257" customFormat="false" ht="15" hidden="false" customHeight="false" outlineLevel="0" collapsed="false">
      <c r="A257" s="18" t="str">
        <f aca="false">IF(B257="","",ROW()-4)</f>
        <v/>
      </c>
      <c r="B257" s="19"/>
      <c r="C257" s="20"/>
      <c r="D257" s="18" t="str">
        <f aca="false">IF(C257="","",INDEX(Degraus!$B$5:$B$24,C257))</f>
        <v/>
      </c>
      <c r="E257" s="20"/>
      <c r="F257" s="21"/>
      <c r="G257" s="18" t="str">
        <f aca="false">IF(B257="","",INT((B257-MIN($B$5:$B$304))/7)+1)</f>
        <v/>
      </c>
      <c r="H257" s="18" t="str">
        <f aca="false">IF(OR(C257="",E257=""),"",IF(E257=3,MAX(1,C257-2),IF(E257=2,MAX(1,C257-1),IF(AND(C256=C257,C255=C257,E256&lt;&gt;"",E255&lt;&gt;"",E256&lt;=1,E255&lt;=1),MIN(20,C257+1),C257))))</f>
        <v/>
      </c>
      <c r="I257" s="22" t="str">
        <f aca="false">IF(H257="","",IF(H257&gt;C257,"Suba para o degrau "&amp;H257&amp;" ("&amp;INDEX(Degraus!$B$5:$B$24,H257)&amp;")",IF(H257&lt;C257,"Desça para o degrau "&amp;H257&amp;" ("&amp;INDEX(Degraus!$B$5:$B$24,H257)&amp;")","Repita o degrau "&amp;C257&amp;" até 3 sessões calmas seguidas")))</f>
        <v/>
      </c>
    </row>
    <row r="258" customFormat="false" ht="15" hidden="false" customHeight="false" outlineLevel="0" collapsed="false">
      <c r="A258" s="18" t="str">
        <f aca="false">IF(B258="","",ROW()-4)</f>
        <v/>
      </c>
      <c r="B258" s="19"/>
      <c r="C258" s="20"/>
      <c r="D258" s="18" t="str">
        <f aca="false">IF(C258="","",INDEX(Degraus!$B$5:$B$24,C258))</f>
        <v/>
      </c>
      <c r="E258" s="20"/>
      <c r="F258" s="21"/>
      <c r="G258" s="18" t="str">
        <f aca="false">IF(B258="","",INT((B258-MIN($B$5:$B$304))/7)+1)</f>
        <v/>
      </c>
      <c r="H258" s="18" t="str">
        <f aca="false">IF(OR(C258="",E258=""),"",IF(E258=3,MAX(1,C258-2),IF(E258=2,MAX(1,C258-1),IF(AND(C257=C258,C256=C258,E257&lt;&gt;"",E256&lt;&gt;"",E257&lt;=1,E256&lt;=1),MIN(20,C258+1),C258))))</f>
        <v/>
      </c>
      <c r="I258" s="22" t="str">
        <f aca="false">IF(H258="","",IF(H258&gt;C258,"Suba para o degrau "&amp;H258&amp;" ("&amp;INDEX(Degraus!$B$5:$B$24,H258)&amp;")",IF(H258&lt;C258,"Desça para o degrau "&amp;H258&amp;" ("&amp;INDEX(Degraus!$B$5:$B$24,H258)&amp;")","Repita o degrau "&amp;C258&amp;" até 3 sessões calmas seguidas")))</f>
        <v/>
      </c>
    </row>
    <row r="259" customFormat="false" ht="15" hidden="false" customHeight="false" outlineLevel="0" collapsed="false">
      <c r="A259" s="18" t="str">
        <f aca="false">IF(B259="","",ROW()-4)</f>
        <v/>
      </c>
      <c r="B259" s="19"/>
      <c r="C259" s="20"/>
      <c r="D259" s="18" t="str">
        <f aca="false">IF(C259="","",INDEX(Degraus!$B$5:$B$24,C259))</f>
        <v/>
      </c>
      <c r="E259" s="20"/>
      <c r="F259" s="21"/>
      <c r="G259" s="18" t="str">
        <f aca="false">IF(B259="","",INT((B259-MIN($B$5:$B$304))/7)+1)</f>
        <v/>
      </c>
      <c r="H259" s="18" t="str">
        <f aca="false">IF(OR(C259="",E259=""),"",IF(E259=3,MAX(1,C259-2),IF(E259=2,MAX(1,C259-1),IF(AND(C258=C259,C257=C259,E258&lt;&gt;"",E257&lt;&gt;"",E258&lt;=1,E257&lt;=1),MIN(20,C259+1),C259))))</f>
        <v/>
      </c>
      <c r="I259" s="22" t="str">
        <f aca="false">IF(H259="","",IF(H259&gt;C259,"Suba para o degrau "&amp;H259&amp;" ("&amp;INDEX(Degraus!$B$5:$B$24,H259)&amp;")",IF(H259&lt;C259,"Desça para o degrau "&amp;H259&amp;" ("&amp;INDEX(Degraus!$B$5:$B$24,H259)&amp;")","Repita o degrau "&amp;C259&amp;" até 3 sessões calmas seguidas")))</f>
        <v/>
      </c>
    </row>
    <row r="260" customFormat="false" ht="15" hidden="false" customHeight="false" outlineLevel="0" collapsed="false">
      <c r="A260" s="18" t="str">
        <f aca="false">IF(B260="","",ROW()-4)</f>
        <v/>
      </c>
      <c r="B260" s="19"/>
      <c r="C260" s="20"/>
      <c r="D260" s="18" t="str">
        <f aca="false">IF(C260="","",INDEX(Degraus!$B$5:$B$24,C260))</f>
        <v/>
      </c>
      <c r="E260" s="20"/>
      <c r="F260" s="21"/>
      <c r="G260" s="18" t="str">
        <f aca="false">IF(B260="","",INT((B260-MIN($B$5:$B$304))/7)+1)</f>
        <v/>
      </c>
      <c r="H260" s="18" t="str">
        <f aca="false">IF(OR(C260="",E260=""),"",IF(E260=3,MAX(1,C260-2),IF(E260=2,MAX(1,C260-1),IF(AND(C259=C260,C258=C260,E259&lt;&gt;"",E258&lt;&gt;"",E259&lt;=1,E258&lt;=1),MIN(20,C260+1),C260))))</f>
        <v/>
      </c>
      <c r="I260" s="22" t="str">
        <f aca="false">IF(H260="","",IF(H260&gt;C260,"Suba para o degrau "&amp;H260&amp;" ("&amp;INDEX(Degraus!$B$5:$B$24,H260)&amp;")",IF(H260&lt;C260,"Desça para o degrau "&amp;H260&amp;" ("&amp;INDEX(Degraus!$B$5:$B$24,H260)&amp;")","Repita o degrau "&amp;C260&amp;" até 3 sessões calmas seguidas")))</f>
        <v/>
      </c>
    </row>
    <row r="261" customFormat="false" ht="15" hidden="false" customHeight="false" outlineLevel="0" collapsed="false">
      <c r="A261" s="18" t="str">
        <f aca="false">IF(B261="","",ROW()-4)</f>
        <v/>
      </c>
      <c r="B261" s="19"/>
      <c r="C261" s="20"/>
      <c r="D261" s="18" t="str">
        <f aca="false">IF(C261="","",INDEX(Degraus!$B$5:$B$24,C261))</f>
        <v/>
      </c>
      <c r="E261" s="20"/>
      <c r="F261" s="21"/>
      <c r="G261" s="18" t="str">
        <f aca="false">IF(B261="","",INT((B261-MIN($B$5:$B$304))/7)+1)</f>
        <v/>
      </c>
      <c r="H261" s="18" t="str">
        <f aca="false">IF(OR(C261="",E261=""),"",IF(E261=3,MAX(1,C261-2),IF(E261=2,MAX(1,C261-1),IF(AND(C260=C261,C259=C261,E260&lt;&gt;"",E259&lt;&gt;"",E260&lt;=1,E259&lt;=1),MIN(20,C261+1),C261))))</f>
        <v/>
      </c>
      <c r="I261" s="22" t="str">
        <f aca="false">IF(H261="","",IF(H261&gt;C261,"Suba para o degrau "&amp;H261&amp;" ("&amp;INDEX(Degraus!$B$5:$B$24,H261)&amp;")",IF(H261&lt;C261,"Desça para o degrau "&amp;H261&amp;" ("&amp;INDEX(Degraus!$B$5:$B$24,H261)&amp;")","Repita o degrau "&amp;C261&amp;" até 3 sessões calmas seguidas")))</f>
        <v/>
      </c>
    </row>
    <row r="262" customFormat="false" ht="15" hidden="false" customHeight="false" outlineLevel="0" collapsed="false">
      <c r="A262" s="18" t="str">
        <f aca="false">IF(B262="","",ROW()-4)</f>
        <v/>
      </c>
      <c r="B262" s="19"/>
      <c r="C262" s="20"/>
      <c r="D262" s="18" t="str">
        <f aca="false">IF(C262="","",INDEX(Degraus!$B$5:$B$24,C262))</f>
        <v/>
      </c>
      <c r="E262" s="20"/>
      <c r="F262" s="21"/>
      <c r="G262" s="18" t="str">
        <f aca="false">IF(B262="","",INT((B262-MIN($B$5:$B$304))/7)+1)</f>
        <v/>
      </c>
      <c r="H262" s="18" t="str">
        <f aca="false">IF(OR(C262="",E262=""),"",IF(E262=3,MAX(1,C262-2),IF(E262=2,MAX(1,C262-1),IF(AND(C261=C262,C260=C262,E261&lt;&gt;"",E260&lt;&gt;"",E261&lt;=1,E260&lt;=1),MIN(20,C262+1),C262))))</f>
        <v/>
      </c>
      <c r="I262" s="22" t="str">
        <f aca="false">IF(H262="","",IF(H262&gt;C262,"Suba para o degrau "&amp;H262&amp;" ("&amp;INDEX(Degraus!$B$5:$B$24,H262)&amp;")",IF(H262&lt;C262,"Desça para o degrau "&amp;H262&amp;" ("&amp;INDEX(Degraus!$B$5:$B$24,H262)&amp;")","Repita o degrau "&amp;C262&amp;" até 3 sessões calmas seguidas")))</f>
        <v/>
      </c>
    </row>
    <row r="263" customFormat="false" ht="15" hidden="false" customHeight="false" outlineLevel="0" collapsed="false">
      <c r="A263" s="18" t="str">
        <f aca="false">IF(B263="","",ROW()-4)</f>
        <v/>
      </c>
      <c r="B263" s="19"/>
      <c r="C263" s="20"/>
      <c r="D263" s="18" t="str">
        <f aca="false">IF(C263="","",INDEX(Degraus!$B$5:$B$24,C263))</f>
        <v/>
      </c>
      <c r="E263" s="20"/>
      <c r="F263" s="21"/>
      <c r="G263" s="18" t="str">
        <f aca="false">IF(B263="","",INT((B263-MIN($B$5:$B$304))/7)+1)</f>
        <v/>
      </c>
      <c r="H263" s="18" t="str">
        <f aca="false">IF(OR(C263="",E263=""),"",IF(E263=3,MAX(1,C263-2),IF(E263=2,MAX(1,C263-1),IF(AND(C262=C263,C261=C263,E262&lt;&gt;"",E261&lt;&gt;"",E262&lt;=1,E261&lt;=1),MIN(20,C263+1),C263))))</f>
        <v/>
      </c>
      <c r="I263" s="22" t="str">
        <f aca="false">IF(H263="","",IF(H263&gt;C263,"Suba para o degrau "&amp;H263&amp;" ("&amp;INDEX(Degraus!$B$5:$B$24,H263)&amp;")",IF(H263&lt;C263,"Desça para o degrau "&amp;H263&amp;" ("&amp;INDEX(Degraus!$B$5:$B$24,H263)&amp;")","Repita o degrau "&amp;C263&amp;" até 3 sessões calmas seguidas")))</f>
        <v/>
      </c>
    </row>
    <row r="264" customFormat="false" ht="15" hidden="false" customHeight="false" outlineLevel="0" collapsed="false">
      <c r="A264" s="18" t="str">
        <f aca="false">IF(B264="","",ROW()-4)</f>
        <v/>
      </c>
      <c r="B264" s="19"/>
      <c r="C264" s="20"/>
      <c r="D264" s="18" t="str">
        <f aca="false">IF(C264="","",INDEX(Degraus!$B$5:$B$24,C264))</f>
        <v/>
      </c>
      <c r="E264" s="20"/>
      <c r="F264" s="21"/>
      <c r="G264" s="18" t="str">
        <f aca="false">IF(B264="","",INT((B264-MIN($B$5:$B$304))/7)+1)</f>
        <v/>
      </c>
      <c r="H264" s="18" t="str">
        <f aca="false">IF(OR(C264="",E264=""),"",IF(E264=3,MAX(1,C264-2),IF(E264=2,MAX(1,C264-1),IF(AND(C263=C264,C262=C264,E263&lt;&gt;"",E262&lt;&gt;"",E263&lt;=1,E262&lt;=1),MIN(20,C264+1),C264))))</f>
        <v/>
      </c>
      <c r="I264" s="22" t="str">
        <f aca="false">IF(H264="","",IF(H264&gt;C264,"Suba para o degrau "&amp;H264&amp;" ("&amp;INDEX(Degraus!$B$5:$B$24,H264)&amp;")",IF(H264&lt;C264,"Desça para o degrau "&amp;H264&amp;" ("&amp;INDEX(Degraus!$B$5:$B$24,H264)&amp;")","Repita o degrau "&amp;C264&amp;" até 3 sessões calmas seguidas")))</f>
        <v/>
      </c>
    </row>
    <row r="265" customFormat="false" ht="15" hidden="false" customHeight="false" outlineLevel="0" collapsed="false">
      <c r="A265" s="18" t="str">
        <f aca="false">IF(B265="","",ROW()-4)</f>
        <v/>
      </c>
      <c r="B265" s="19"/>
      <c r="C265" s="20"/>
      <c r="D265" s="18" t="str">
        <f aca="false">IF(C265="","",INDEX(Degraus!$B$5:$B$24,C265))</f>
        <v/>
      </c>
      <c r="E265" s="20"/>
      <c r="F265" s="21"/>
      <c r="G265" s="18" t="str">
        <f aca="false">IF(B265="","",INT((B265-MIN($B$5:$B$304))/7)+1)</f>
        <v/>
      </c>
      <c r="H265" s="18" t="str">
        <f aca="false">IF(OR(C265="",E265=""),"",IF(E265=3,MAX(1,C265-2),IF(E265=2,MAX(1,C265-1),IF(AND(C264=C265,C263=C265,E264&lt;&gt;"",E263&lt;&gt;"",E264&lt;=1,E263&lt;=1),MIN(20,C265+1),C265))))</f>
        <v/>
      </c>
      <c r="I265" s="22" t="str">
        <f aca="false">IF(H265="","",IF(H265&gt;C265,"Suba para o degrau "&amp;H265&amp;" ("&amp;INDEX(Degraus!$B$5:$B$24,H265)&amp;")",IF(H265&lt;C265,"Desça para o degrau "&amp;H265&amp;" ("&amp;INDEX(Degraus!$B$5:$B$24,H265)&amp;")","Repita o degrau "&amp;C265&amp;" até 3 sessões calmas seguidas")))</f>
        <v/>
      </c>
    </row>
    <row r="266" customFormat="false" ht="15" hidden="false" customHeight="false" outlineLevel="0" collapsed="false">
      <c r="A266" s="18" t="str">
        <f aca="false">IF(B266="","",ROW()-4)</f>
        <v/>
      </c>
      <c r="B266" s="19"/>
      <c r="C266" s="20"/>
      <c r="D266" s="18" t="str">
        <f aca="false">IF(C266="","",INDEX(Degraus!$B$5:$B$24,C266))</f>
        <v/>
      </c>
      <c r="E266" s="20"/>
      <c r="F266" s="21"/>
      <c r="G266" s="18" t="str">
        <f aca="false">IF(B266="","",INT((B266-MIN($B$5:$B$304))/7)+1)</f>
        <v/>
      </c>
      <c r="H266" s="18" t="str">
        <f aca="false">IF(OR(C266="",E266=""),"",IF(E266=3,MAX(1,C266-2),IF(E266=2,MAX(1,C266-1),IF(AND(C265=C266,C264=C266,E265&lt;&gt;"",E264&lt;&gt;"",E265&lt;=1,E264&lt;=1),MIN(20,C266+1),C266))))</f>
        <v/>
      </c>
      <c r="I266" s="22" t="str">
        <f aca="false">IF(H266="","",IF(H266&gt;C266,"Suba para o degrau "&amp;H266&amp;" ("&amp;INDEX(Degraus!$B$5:$B$24,H266)&amp;")",IF(H266&lt;C266,"Desça para o degrau "&amp;H266&amp;" ("&amp;INDEX(Degraus!$B$5:$B$24,H266)&amp;")","Repita o degrau "&amp;C266&amp;" até 3 sessões calmas seguidas")))</f>
        <v/>
      </c>
    </row>
    <row r="267" customFormat="false" ht="15" hidden="false" customHeight="false" outlineLevel="0" collapsed="false">
      <c r="A267" s="18" t="str">
        <f aca="false">IF(B267="","",ROW()-4)</f>
        <v/>
      </c>
      <c r="B267" s="19"/>
      <c r="C267" s="20"/>
      <c r="D267" s="18" t="str">
        <f aca="false">IF(C267="","",INDEX(Degraus!$B$5:$B$24,C267))</f>
        <v/>
      </c>
      <c r="E267" s="20"/>
      <c r="F267" s="21"/>
      <c r="G267" s="18" t="str">
        <f aca="false">IF(B267="","",INT((B267-MIN($B$5:$B$304))/7)+1)</f>
        <v/>
      </c>
      <c r="H267" s="18" t="str">
        <f aca="false">IF(OR(C267="",E267=""),"",IF(E267=3,MAX(1,C267-2),IF(E267=2,MAX(1,C267-1),IF(AND(C266=C267,C265=C267,E266&lt;&gt;"",E265&lt;&gt;"",E266&lt;=1,E265&lt;=1),MIN(20,C267+1),C267))))</f>
        <v/>
      </c>
      <c r="I267" s="22" t="str">
        <f aca="false">IF(H267="","",IF(H267&gt;C267,"Suba para o degrau "&amp;H267&amp;" ("&amp;INDEX(Degraus!$B$5:$B$24,H267)&amp;")",IF(H267&lt;C267,"Desça para o degrau "&amp;H267&amp;" ("&amp;INDEX(Degraus!$B$5:$B$24,H267)&amp;")","Repita o degrau "&amp;C267&amp;" até 3 sessões calmas seguidas")))</f>
        <v/>
      </c>
    </row>
    <row r="268" customFormat="false" ht="15" hidden="false" customHeight="false" outlineLevel="0" collapsed="false">
      <c r="A268" s="18" t="str">
        <f aca="false">IF(B268="","",ROW()-4)</f>
        <v/>
      </c>
      <c r="B268" s="19"/>
      <c r="C268" s="20"/>
      <c r="D268" s="18" t="str">
        <f aca="false">IF(C268="","",INDEX(Degraus!$B$5:$B$24,C268))</f>
        <v/>
      </c>
      <c r="E268" s="20"/>
      <c r="F268" s="21"/>
      <c r="G268" s="18" t="str">
        <f aca="false">IF(B268="","",INT((B268-MIN($B$5:$B$304))/7)+1)</f>
        <v/>
      </c>
      <c r="H268" s="18" t="str">
        <f aca="false">IF(OR(C268="",E268=""),"",IF(E268=3,MAX(1,C268-2),IF(E268=2,MAX(1,C268-1),IF(AND(C267=C268,C266=C268,E267&lt;&gt;"",E266&lt;&gt;"",E267&lt;=1,E266&lt;=1),MIN(20,C268+1),C268))))</f>
        <v/>
      </c>
      <c r="I268" s="22" t="str">
        <f aca="false">IF(H268="","",IF(H268&gt;C268,"Suba para o degrau "&amp;H268&amp;" ("&amp;INDEX(Degraus!$B$5:$B$24,H268)&amp;")",IF(H268&lt;C268,"Desça para o degrau "&amp;H268&amp;" ("&amp;INDEX(Degraus!$B$5:$B$24,H268)&amp;")","Repita o degrau "&amp;C268&amp;" até 3 sessões calmas seguidas")))</f>
        <v/>
      </c>
    </row>
    <row r="269" customFormat="false" ht="15" hidden="false" customHeight="false" outlineLevel="0" collapsed="false">
      <c r="A269" s="18" t="str">
        <f aca="false">IF(B269="","",ROW()-4)</f>
        <v/>
      </c>
      <c r="B269" s="19"/>
      <c r="C269" s="20"/>
      <c r="D269" s="18" t="str">
        <f aca="false">IF(C269="","",INDEX(Degraus!$B$5:$B$24,C269))</f>
        <v/>
      </c>
      <c r="E269" s="20"/>
      <c r="F269" s="21"/>
      <c r="G269" s="18" t="str">
        <f aca="false">IF(B269="","",INT((B269-MIN($B$5:$B$304))/7)+1)</f>
        <v/>
      </c>
      <c r="H269" s="18" t="str">
        <f aca="false">IF(OR(C269="",E269=""),"",IF(E269=3,MAX(1,C269-2),IF(E269=2,MAX(1,C269-1),IF(AND(C268=C269,C267=C269,E268&lt;&gt;"",E267&lt;&gt;"",E268&lt;=1,E267&lt;=1),MIN(20,C269+1),C269))))</f>
        <v/>
      </c>
      <c r="I269" s="22" t="str">
        <f aca="false">IF(H269="","",IF(H269&gt;C269,"Suba para o degrau "&amp;H269&amp;" ("&amp;INDEX(Degraus!$B$5:$B$24,H269)&amp;")",IF(H269&lt;C269,"Desça para o degrau "&amp;H269&amp;" ("&amp;INDEX(Degraus!$B$5:$B$24,H269)&amp;")","Repita o degrau "&amp;C269&amp;" até 3 sessões calmas seguidas")))</f>
        <v/>
      </c>
    </row>
    <row r="270" customFormat="false" ht="15" hidden="false" customHeight="false" outlineLevel="0" collapsed="false">
      <c r="A270" s="18" t="str">
        <f aca="false">IF(B270="","",ROW()-4)</f>
        <v/>
      </c>
      <c r="B270" s="19"/>
      <c r="C270" s="20"/>
      <c r="D270" s="18" t="str">
        <f aca="false">IF(C270="","",INDEX(Degraus!$B$5:$B$24,C270))</f>
        <v/>
      </c>
      <c r="E270" s="20"/>
      <c r="F270" s="21"/>
      <c r="G270" s="18" t="str">
        <f aca="false">IF(B270="","",INT((B270-MIN($B$5:$B$304))/7)+1)</f>
        <v/>
      </c>
      <c r="H270" s="18" t="str">
        <f aca="false">IF(OR(C270="",E270=""),"",IF(E270=3,MAX(1,C270-2),IF(E270=2,MAX(1,C270-1),IF(AND(C269=C270,C268=C270,E269&lt;&gt;"",E268&lt;&gt;"",E269&lt;=1,E268&lt;=1),MIN(20,C270+1),C270))))</f>
        <v/>
      </c>
      <c r="I270" s="22" t="str">
        <f aca="false">IF(H270="","",IF(H270&gt;C270,"Suba para o degrau "&amp;H270&amp;" ("&amp;INDEX(Degraus!$B$5:$B$24,H270)&amp;")",IF(H270&lt;C270,"Desça para o degrau "&amp;H270&amp;" ("&amp;INDEX(Degraus!$B$5:$B$24,H270)&amp;")","Repita o degrau "&amp;C270&amp;" até 3 sessões calmas seguidas")))</f>
        <v/>
      </c>
    </row>
    <row r="271" customFormat="false" ht="15" hidden="false" customHeight="false" outlineLevel="0" collapsed="false">
      <c r="A271" s="18" t="str">
        <f aca="false">IF(B271="","",ROW()-4)</f>
        <v/>
      </c>
      <c r="B271" s="19"/>
      <c r="C271" s="20"/>
      <c r="D271" s="18" t="str">
        <f aca="false">IF(C271="","",INDEX(Degraus!$B$5:$B$24,C271))</f>
        <v/>
      </c>
      <c r="E271" s="20"/>
      <c r="F271" s="21"/>
      <c r="G271" s="18" t="str">
        <f aca="false">IF(B271="","",INT((B271-MIN($B$5:$B$304))/7)+1)</f>
        <v/>
      </c>
      <c r="H271" s="18" t="str">
        <f aca="false">IF(OR(C271="",E271=""),"",IF(E271=3,MAX(1,C271-2),IF(E271=2,MAX(1,C271-1),IF(AND(C270=C271,C269=C271,E270&lt;&gt;"",E269&lt;&gt;"",E270&lt;=1,E269&lt;=1),MIN(20,C271+1),C271))))</f>
        <v/>
      </c>
      <c r="I271" s="22" t="str">
        <f aca="false">IF(H271="","",IF(H271&gt;C271,"Suba para o degrau "&amp;H271&amp;" ("&amp;INDEX(Degraus!$B$5:$B$24,H271)&amp;")",IF(H271&lt;C271,"Desça para o degrau "&amp;H271&amp;" ("&amp;INDEX(Degraus!$B$5:$B$24,H271)&amp;")","Repita o degrau "&amp;C271&amp;" até 3 sessões calmas seguidas")))</f>
        <v/>
      </c>
    </row>
    <row r="272" customFormat="false" ht="15" hidden="false" customHeight="false" outlineLevel="0" collapsed="false">
      <c r="A272" s="18" t="str">
        <f aca="false">IF(B272="","",ROW()-4)</f>
        <v/>
      </c>
      <c r="B272" s="19"/>
      <c r="C272" s="20"/>
      <c r="D272" s="18" t="str">
        <f aca="false">IF(C272="","",INDEX(Degraus!$B$5:$B$24,C272))</f>
        <v/>
      </c>
      <c r="E272" s="20"/>
      <c r="F272" s="21"/>
      <c r="G272" s="18" t="str">
        <f aca="false">IF(B272="","",INT((B272-MIN($B$5:$B$304))/7)+1)</f>
        <v/>
      </c>
      <c r="H272" s="18" t="str">
        <f aca="false">IF(OR(C272="",E272=""),"",IF(E272=3,MAX(1,C272-2),IF(E272=2,MAX(1,C272-1),IF(AND(C271=C272,C270=C272,E271&lt;&gt;"",E270&lt;&gt;"",E271&lt;=1,E270&lt;=1),MIN(20,C272+1),C272))))</f>
        <v/>
      </c>
      <c r="I272" s="22" t="str">
        <f aca="false">IF(H272="","",IF(H272&gt;C272,"Suba para o degrau "&amp;H272&amp;" ("&amp;INDEX(Degraus!$B$5:$B$24,H272)&amp;")",IF(H272&lt;C272,"Desça para o degrau "&amp;H272&amp;" ("&amp;INDEX(Degraus!$B$5:$B$24,H272)&amp;")","Repita o degrau "&amp;C272&amp;" até 3 sessões calmas seguidas")))</f>
        <v/>
      </c>
    </row>
    <row r="273" customFormat="false" ht="15" hidden="false" customHeight="false" outlineLevel="0" collapsed="false">
      <c r="A273" s="18" t="str">
        <f aca="false">IF(B273="","",ROW()-4)</f>
        <v/>
      </c>
      <c r="B273" s="19"/>
      <c r="C273" s="20"/>
      <c r="D273" s="18" t="str">
        <f aca="false">IF(C273="","",INDEX(Degraus!$B$5:$B$24,C273))</f>
        <v/>
      </c>
      <c r="E273" s="20"/>
      <c r="F273" s="21"/>
      <c r="G273" s="18" t="str">
        <f aca="false">IF(B273="","",INT((B273-MIN($B$5:$B$304))/7)+1)</f>
        <v/>
      </c>
      <c r="H273" s="18" t="str">
        <f aca="false">IF(OR(C273="",E273=""),"",IF(E273=3,MAX(1,C273-2),IF(E273=2,MAX(1,C273-1),IF(AND(C272=C273,C271=C273,E272&lt;&gt;"",E271&lt;&gt;"",E272&lt;=1,E271&lt;=1),MIN(20,C273+1),C273))))</f>
        <v/>
      </c>
      <c r="I273" s="22" t="str">
        <f aca="false">IF(H273="","",IF(H273&gt;C273,"Suba para o degrau "&amp;H273&amp;" ("&amp;INDEX(Degraus!$B$5:$B$24,H273)&amp;")",IF(H273&lt;C273,"Desça para o degrau "&amp;H273&amp;" ("&amp;INDEX(Degraus!$B$5:$B$24,H273)&amp;")","Repita o degrau "&amp;C273&amp;" até 3 sessões calmas seguidas")))</f>
        <v/>
      </c>
    </row>
    <row r="274" customFormat="false" ht="15" hidden="false" customHeight="false" outlineLevel="0" collapsed="false">
      <c r="A274" s="18" t="str">
        <f aca="false">IF(B274="","",ROW()-4)</f>
        <v/>
      </c>
      <c r="B274" s="19"/>
      <c r="C274" s="20"/>
      <c r="D274" s="18" t="str">
        <f aca="false">IF(C274="","",INDEX(Degraus!$B$5:$B$24,C274))</f>
        <v/>
      </c>
      <c r="E274" s="20"/>
      <c r="F274" s="21"/>
      <c r="G274" s="18" t="str">
        <f aca="false">IF(B274="","",INT((B274-MIN($B$5:$B$304))/7)+1)</f>
        <v/>
      </c>
      <c r="H274" s="18" t="str">
        <f aca="false">IF(OR(C274="",E274=""),"",IF(E274=3,MAX(1,C274-2),IF(E274=2,MAX(1,C274-1),IF(AND(C273=C274,C272=C274,E273&lt;&gt;"",E272&lt;&gt;"",E273&lt;=1,E272&lt;=1),MIN(20,C274+1),C274))))</f>
        <v/>
      </c>
      <c r="I274" s="22" t="str">
        <f aca="false">IF(H274="","",IF(H274&gt;C274,"Suba para o degrau "&amp;H274&amp;" ("&amp;INDEX(Degraus!$B$5:$B$24,H274)&amp;")",IF(H274&lt;C274,"Desça para o degrau "&amp;H274&amp;" ("&amp;INDEX(Degraus!$B$5:$B$24,H274)&amp;")","Repita o degrau "&amp;C274&amp;" até 3 sessões calmas seguidas")))</f>
        <v/>
      </c>
    </row>
    <row r="275" customFormat="false" ht="15" hidden="false" customHeight="false" outlineLevel="0" collapsed="false">
      <c r="A275" s="18" t="str">
        <f aca="false">IF(B275="","",ROW()-4)</f>
        <v/>
      </c>
      <c r="B275" s="19"/>
      <c r="C275" s="20"/>
      <c r="D275" s="18" t="str">
        <f aca="false">IF(C275="","",INDEX(Degraus!$B$5:$B$24,C275))</f>
        <v/>
      </c>
      <c r="E275" s="20"/>
      <c r="F275" s="21"/>
      <c r="G275" s="18" t="str">
        <f aca="false">IF(B275="","",INT((B275-MIN($B$5:$B$304))/7)+1)</f>
        <v/>
      </c>
      <c r="H275" s="18" t="str">
        <f aca="false">IF(OR(C275="",E275=""),"",IF(E275=3,MAX(1,C275-2),IF(E275=2,MAX(1,C275-1),IF(AND(C274=C275,C273=C275,E274&lt;&gt;"",E273&lt;&gt;"",E274&lt;=1,E273&lt;=1),MIN(20,C275+1),C275))))</f>
        <v/>
      </c>
      <c r="I275" s="22" t="str">
        <f aca="false">IF(H275="","",IF(H275&gt;C275,"Suba para o degrau "&amp;H275&amp;" ("&amp;INDEX(Degraus!$B$5:$B$24,H275)&amp;")",IF(H275&lt;C275,"Desça para o degrau "&amp;H275&amp;" ("&amp;INDEX(Degraus!$B$5:$B$24,H275)&amp;")","Repita o degrau "&amp;C275&amp;" até 3 sessões calmas seguidas")))</f>
        <v/>
      </c>
    </row>
    <row r="276" customFormat="false" ht="15" hidden="false" customHeight="false" outlineLevel="0" collapsed="false">
      <c r="A276" s="18" t="str">
        <f aca="false">IF(B276="","",ROW()-4)</f>
        <v/>
      </c>
      <c r="B276" s="19"/>
      <c r="C276" s="20"/>
      <c r="D276" s="18" t="str">
        <f aca="false">IF(C276="","",INDEX(Degraus!$B$5:$B$24,C276))</f>
        <v/>
      </c>
      <c r="E276" s="20"/>
      <c r="F276" s="21"/>
      <c r="G276" s="18" t="str">
        <f aca="false">IF(B276="","",INT((B276-MIN($B$5:$B$304))/7)+1)</f>
        <v/>
      </c>
      <c r="H276" s="18" t="str">
        <f aca="false">IF(OR(C276="",E276=""),"",IF(E276=3,MAX(1,C276-2),IF(E276=2,MAX(1,C276-1),IF(AND(C275=C276,C274=C276,E275&lt;&gt;"",E274&lt;&gt;"",E275&lt;=1,E274&lt;=1),MIN(20,C276+1),C276))))</f>
        <v/>
      </c>
      <c r="I276" s="22" t="str">
        <f aca="false">IF(H276="","",IF(H276&gt;C276,"Suba para o degrau "&amp;H276&amp;" ("&amp;INDEX(Degraus!$B$5:$B$24,H276)&amp;")",IF(H276&lt;C276,"Desça para o degrau "&amp;H276&amp;" ("&amp;INDEX(Degraus!$B$5:$B$24,H276)&amp;")","Repita o degrau "&amp;C276&amp;" até 3 sessões calmas seguidas")))</f>
        <v/>
      </c>
    </row>
    <row r="277" customFormat="false" ht="15" hidden="false" customHeight="false" outlineLevel="0" collapsed="false">
      <c r="A277" s="18" t="str">
        <f aca="false">IF(B277="","",ROW()-4)</f>
        <v/>
      </c>
      <c r="B277" s="19"/>
      <c r="C277" s="20"/>
      <c r="D277" s="18" t="str">
        <f aca="false">IF(C277="","",INDEX(Degraus!$B$5:$B$24,C277))</f>
        <v/>
      </c>
      <c r="E277" s="20"/>
      <c r="F277" s="21"/>
      <c r="G277" s="18" t="str">
        <f aca="false">IF(B277="","",INT((B277-MIN($B$5:$B$304))/7)+1)</f>
        <v/>
      </c>
      <c r="H277" s="18" t="str">
        <f aca="false">IF(OR(C277="",E277=""),"",IF(E277=3,MAX(1,C277-2),IF(E277=2,MAX(1,C277-1),IF(AND(C276=C277,C275=C277,E276&lt;&gt;"",E275&lt;&gt;"",E276&lt;=1,E275&lt;=1),MIN(20,C277+1),C277))))</f>
        <v/>
      </c>
      <c r="I277" s="22" t="str">
        <f aca="false">IF(H277="","",IF(H277&gt;C277,"Suba para o degrau "&amp;H277&amp;" ("&amp;INDEX(Degraus!$B$5:$B$24,H277)&amp;")",IF(H277&lt;C277,"Desça para o degrau "&amp;H277&amp;" ("&amp;INDEX(Degraus!$B$5:$B$24,H277)&amp;")","Repita o degrau "&amp;C277&amp;" até 3 sessões calmas seguidas")))</f>
        <v/>
      </c>
    </row>
    <row r="278" customFormat="false" ht="15" hidden="false" customHeight="false" outlineLevel="0" collapsed="false">
      <c r="A278" s="18" t="str">
        <f aca="false">IF(B278="","",ROW()-4)</f>
        <v/>
      </c>
      <c r="B278" s="19"/>
      <c r="C278" s="20"/>
      <c r="D278" s="18" t="str">
        <f aca="false">IF(C278="","",INDEX(Degraus!$B$5:$B$24,C278))</f>
        <v/>
      </c>
      <c r="E278" s="20"/>
      <c r="F278" s="21"/>
      <c r="G278" s="18" t="str">
        <f aca="false">IF(B278="","",INT((B278-MIN($B$5:$B$304))/7)+1)</f>
        <v/>
      </c>
      <c r="H278" s="18" t="str">
        <f aca="false">IF(OR(C278="",E278=""),"",IF(E278=3,MAX(1,C278-2),IF(E278=2,MAX(1,C278-1),IF(AND(C277=C278,C276=C278,E277&lt;&gt;"",E276&lt;&gt;"",E277&lt;=1,E276&lt;=1),MIN(20,C278+1),C278))))</f>
        <v/>
      </c>
      <c r="I278" s="22" t="str">
        <f aca="false">IF(H278="","",IF(H278&gt;C278,"Suba para o degrau "&amp;H278&amp;" ("&amp;INDEX(Degraus!$B$5:$B$24,H278)&amp;")",IF(H278&lt;C278,"Desça para o degrau "&amp;H278&amp;" ("&amp;INDEX(Degraus!$B$5:$B$24,H278)&amp;")","Repita o degrau "&amp;C278&amp;" até 3 sessões calmas seguidas")))</f>
        <v/>
      </c>
    </row>
    <row r="279" customFormat="false" ht="15" hidden="false" customHeight="false" outlineLevel="0" collapsed="false">
      <c r="A279" s="18" t="str">
        <f aca="false">IF(B279="","",ROW()-4)</f>
        <v/>
      </c>
      <c r="B279" s="19"/>
      <c r="C279" s="20"/>
      <c r="D279" s="18" t="str">
        <f aca="false">IF(C279="","",INDEX(Degraus!$B$5:$B$24,C279))</f>
        <v/>
      </c>
      <c r="E279" s="20"/>
      <c r="F279" s="21"/>
      <c r="G279" s="18" t="str">
        <f aca="false">IF(B279="","",INT((B279-MIN($B$5:$B$304))/7)+1)</f>
        <v/>
      </c>
      <c r="H279" s="18" t="str">
        <f aca="false">IF(OR(C279="",E279=""),"",IF(E279=3,MAX(1,C279-2),IF(E279=2,MAX(1,C279-1),IF(AND(C278=C279,C277=C279,E278&lt;&gt;"",E277&lt;&gt;"",E278&lt;=1,E277&lt;=1),MIN(20,C279+1),C279))))</f>
        <v/>
      </c>
      <c r="I279" s="22" t="str">
        <f aca="false">IF(H279="","",IF(H279&gt;C279,"Suba para o degrau "&amp;H279&amp;" ("&amp;INDEX(Degraus!$B$5:$B$24,H279)&amp;")",IF(H279&lt;C279,"Desça para o degrau "&amp;H279&amp;" ("&amp;INDEX(Degraus!$B$5:$B$24,H279)&amp;")","Repita o degrau "&amp;C279&amp;" até 3 sessões calmas seguidas")))</f>
        <v/>
      </c>
    </row>
    <row r="280" customFormat="false" ht="15" hidden="false" customHeight="false" outlineLevel="0" collapsed="false">
      <c r="A280" s="18" t="str">
        <f aca="false">IF(B280="","",ROW()-4)</f>
        <v/>
      </c>
      <c r="B280" s="19"/>
      <c r="C280" s="20"/>
      <c r="D280" s="18" t="str">
        <f aca="false">IF(C280="","",INDEX(Degraus!$B$5:$B$24,C280))</f>
        <v/>
      </c>
      <c r="E280" s="20"/>
      <c r="F280" s="21"/>
      <c r="G280" s="18" t="str">
        <f aca="false">IF(B280="","",INT((B280-MIN($B$5:$B$304))/7)+1)</f>
        <v/>
      </c>
      <c r="H280" s="18" t="str">
        <f aca="false">IF(OR(C280="",E280=""),"",IF(E280=3,MAX(1,C280-2),IF(E280=2,MAX(1,C280-1),IF(AND(C279=C280,C278=C280,E279&lt;&gt;"",E278&lt;&gt;"",E279&lt;=1,E278&lt;=1),MIN(20,C280+1),C280))))</f>
        <v/>
      </c>
      <c r="I280" s="22" t="str">
        <f aca="false">IF(H280="","",IF(H280&gt;C280,"Suba para o degrau "&amp;H280&amp;" ("&amp;INDEX(Degraus!$B$5:$B$24,H280)&amp;")",IF(H280&lt;C280,"Desça para o degrau "&amp;H280&amp;" ("&amp;INDEX(Degraus!$B$5:$B$24,H280)&amp;")","Repita o degrau "&amp;C280&amp;" até 3 sessões calmas seguidas")))</f>
        <v/>
      </c>
    </row>
    <row r="281" customFormat="false" ht="15" hidden="false" customHeight="false" outlineLevel="0" collapsed="false">
      <c r="A281" s="18" t="str">
        <f aca="false">IF(B281="","",ROW()-4)</f>
        <v/>
      </c>
      <c r="B281" s="19"/>
      <c r="C281" s="20"/>
      <c r="D281" s="18" t="str">
        <f aca="false">IF(C281="","",INDEX(Degraus!$B$5:$B$24,C281))</f>
        <v/>
      </c>
      <c r="E281" s="20"/>
      <c r="F281" s="21"/>
      <c r="G281" s="18" t="str">
        <f aca="false">IF(B281="","",INT((B281-MIN($B$5:$B$304))/7)+1)</f>
        <v/>
      </c>
      <c r="H281" s="18" t="str">
        <f aca="false">IF(OR(C281="",E281=""),"",IF(E281=3,MAX(1,C281-2),IF(E281=2,MAX(1,C281-1),IF(AND(C280=C281,C279=C281,E280&lt;&gt;"",E279&lt;&gt;"",E280&lt;=1,E279&lt;=1),MIN(20,C281+1),C281))))</f>
        <v/>
      </c>
      <c r="I281" s="22" t="str">
        <f aca="false">IF(H281="","",IF(H281&gt;C281,"Suba para o degrau "&amp;H281&amp;" ("&amp;INDEX(Degraus!$B$5:$B$24,H281)&amp;")",IF(H281&lt;C281,"Desça para o degrau "&amp;H281&amp;" ("&amp;INDEX(Degraus!$B$5:$B$24,H281)&amp;")","Repita o degrau "&amp;C281&amp;" até 3 sessões calmas seguidas")))</f>
        <v/>
      </c>
    </row>
    <row r="282" customFormat="false" ht="15" hidden="false" customHeight="false" outlineLevel="0" collapsed="false">
      <c r="A282" s="18" t="str">
        <f aca="false">IF(B282="","",ROW()-4)</f>
        <v/>
      </c>
      <c r="B282" s="19"/>
      <c r="C282" s="20"/>
      <c r="D282" s="18" t="str">
        <f aca="false">IF(C282="","",INDEX(Degraus!$B$5:$B$24,C282))</f>
        <v/>
      </c>
      <c r="E282" s="20"/>
      <c r="F282" s="21"/>
      <c r="G282" s="18" t="str">
        <f aca="false">IF(B282="","",INT((B282-MIN($B$5:$B$304))/7)+1)</f>
        <v/>
      </c>
      <c r="H282" s="18" t="str">
        <f aca="false">IF(OR(C282="",E282=""),"",IF(E282=3,MAX(1,C282-2),IF(E282=2,MAX(1,C282-1),IF(AND(C281=C282,C280=C282,E281&lt;&gt;"",E280&lt;&gt;"",E281&lt;=1,E280&lt;=1),MIN(20,C282+1),C282))))</f>
        <v/>
      </c>
      <c r="I282" s="22" t="str">
        <f aca="false">IF(H282="","",IF(H282&gt;C282,"Suba para o degrau "&amp;H282&amp;" ("&amp;INDEX(Degraus!$B$5:$B$24,H282)&amp;")",IF(H282&lt;C282,"Desça para o degrau "&amp;H282&amp;" ("&amp;INDEX(Degraus!$B$5:$B$24,H282)&amp;")","Repita o degrau "&amp;C282&amp;" até 3 sessões calmas seguidas")))</f>
        <v/>
      </c>
    </row>
    <row r="283" customFormat="false" ht="15" hidden="false" customHeight="false" outlineLevel="0" collapsed="false">
      <c r="A283" s="18" t="str">
        <f aca="false">IF(B283="","",ROW()-4)</f>
        <v/>
      </c>
      <c r="B283" s="19"/>
      <c r="C283" s="20"/>
      <c r="D283" s="18" t="str">
        <f aca="false">IF(C283="","",INDEX(Degraus!$B$5:$B$24,C283))</f>
        <v/>
      </c>
      <c r="E283" s="20"/>
      <c r="F283" s="21"/>
      <c r="G283" s="18" t="str">
        <f aca="false">IF(B283="","",INT((B283-MIN($B$5:$B$304))/7)+1)</f>
        <v/>
      </c>
      <c r="H283" s="18" t="str">
        <f aca="false">IF(OR(C283="",E283=""),"",IF(E283=3,MAX(1,C283-2),IF(E283=2,MAX(1,C283-1),IF(AND(C282=C283,C281=C283,E282&lt;&gt;"",E281&lt;&gt;"",E282&lt;=1,E281&lt;=1),MIN(20,C283+1),C283))))</f>
        <v/>
      </c>
      <c r="I283" s="22" t="str">
        <f aca="false">IF(H283="","",IF(H283&gt;C283,"Suba para o degrau "&amp;H283&amp;" ("&amp;INDEX(Degraus!$B$5:$B$24,H283)&amp;")",IF(H283&lt;C283,"Desça para o degrau "&amp;H283&amp;" ("&amp;INDEX(Degraus!$B$5:$B$24,H283)&amp;")","Repita o degrau "&amp;C283&amp;" até 3 sessões calmas seguidas")))</f>
        <v/>
      </c>
    </row>
    <row r="284" customFormat="false" ht="15" hidden="false" customHeight="false" outlineLevel="0" collapsed="false">
      <c r="A284" s="18" t="str">
        <f aca="false">IF(B284="","",ROW()-4)</f>
        <v/>
      </c>
      <c r="B284" s="19"/>
      <c r="C284" s="20"/>
      <c r="D284" s="18" t="str">
        <f aca="false">IF(C284="","",INDEX(Degraus!$B$5:$B$24,C284))</f>
        <v/>
      </c>
      <c r="E284" s="20"/>
      <c r="F284" s="21"/>
      <c r="G284" s="18" t="str">
        <f aca="false">IF(B284="","",INT((B284-MIN($B$5:$B$304))/7)+1)</f>
        <v/>
      </c>
      <c r="H284" s="18" t="str">
        <f aca="false">IF(OR(C284="",E284=""),"",IF(E284=3,MAX(1,C284-2),IF(E284=2,MAX(1,C284-1),IF(AND(C283=C284,C282=C284,E283&lt;&gt;"",E282&lt;&gt;"",E283&lt;=1,E282&lt;=1),MIN(20,C284+1),C284))))</f>
        <v/>
      </c>
      <c r="I284" s="22" t="str">
        <f aca="false">IF(H284="","",IF(H284&gt;C284,"Suba para o degrau "&amp;H284&amp;" ("&amp;INDEX(Degraus!$B$5:$B$24,H284)&amp;")",IF(H284&lt;C284,"Desça para o degrau "&amp;H284&amp;" ("&amp;INDEX(Degraus!$B$5:$B$24,H284)&amp;")","Repita o degrau "&amp;C284&amp;" até 3 sessões calmas seguidas")))</f>
        <v/>
      </c>
    </row>
    <row r="285" customFormat="false" ht="15" hidden="false" customHeight="false" outlineLevel="0" collapsed="false">
      <c r="A285" s="18" t="str">
        <f aca="false">IF(B285="","",ROW()-4)</f>
        <v/>
      </c>
      <c r="B285" s="19"/>
      <c r="C285" s="20"/>
      <c r="D285" s="18" t="str">
        <f aca="false">IF(C285="","",INDEX(Degraus!$B$5:$B$24,C285))</f>
        <v/>
      </c>
      <c r="E285" s="20"/>
      <c r="F285" s="21"/>
      <c r="G285" s="18" t="str">
        <f aca="false">IF(B285="","",INT((B285-MIN($B$5:$B$304))/7)+1)</f>
        <v/>
      </c>
      <c r="H285" s="18" t="str">
        <f aca="false">IF(OR(C285="",E285=""),"",IF(E285=3,MAX(1,C285-2),IF(E285=2,MAX(1,C285-1),IF(AND(C284=C285,C283=C285,E284&lt;&gt;"",E283&lt;&gt;"",E284&lt;=1,E283&lt;=1),MIN(20,C285+1),C285))))</f>
        <v/>
      </c>
      <c r="I285" s="22" t="str">
        <f aca="false">IF(H285="","",IF(H285&gt;C285,"Suba para o degrau "&amp;H285&amp;" ("&amp;INDEX(Degraus!$B$5:$B$24,H285)&amp;")",IF(H285&lt;C285,"Desça para o degrau "&amp;H285&amp;" ("&amp;INDEX(Degraus!$B$5:$B$24,H285)&amp;")","Repita o degrau "&amp;C285&amp;" até 3 sessões calmas seguidas")))</f>
        <v/>
      </c>
    </row>
    <row r="286" customFormat="false" ht="15" hidden="false" customHeight="false" outlineLevel="0" collapsed="false">
      <c r="A286" s="18" t="str">
        <f aca="false">IF(B286="","",ROW()-4)</f>
        <v/>
      </c>
      <c r="B286" s="19"/>
      <c r="C286" s="20"/>
      <c r="D286" s="18" t="str">
        <f aca="false">IF(C286="","",INDEX(Degraus!$B$5:$B$24,C286))</f>
        <v/>
      </c>
      <c r="E286" s="20"/>
      <c r="F286" s="21"/>
      <c r="G286" s="18" t="str">
        <f aca="false">IF(B286="","",INT((B286-MIN($B$5:$B$304))/7)+1)</f>
        <v/>
      </c>
      <c r="H286" s="18" t="str">
        <f aca="false">IF(OR(C286="",E286=""),"",IF(E286=3,MAX(1,C286-2),IF(E286=2,MAX(1,C286-1),IF(AND(C285=C286,C284=C286,E285&lt;&gt;"",E284&lt;&gt;"",E285&lt;=1,E284&lt;=1),MIN(20,C286+1),C286))))</f>
        <v/>
      </c>
      <c r="I286" s="22" t="str">
        <f aca="false">IF(H286="","",IF(H286&gt;C286,"Suba para o degrau "&amp;H286&amp;" ("&amp;INDEX(Degraus!$B$5:$B$24,H286)&amp;")",IF(H286&lt;C286,"Desça para o degrau "&amp;H286&amp;" ("&amp;INDEX(Degraus!$B$5:$B$24,H286)&amp;")","Repita o degrau "&amp;C286&amp;" até 3 sessões calmas seguidas")))</f>
        <v/>
      </c>
    </row>
    <row r="287" customFormat="false" ht="15" hidden="false" customHeight="false" outlineLevel="0" collapsed="false">
      <c r="A287" s="18" t="str">
        <f aca="false">IF(B287="","",ROW()-4)</f>
        <v/>
      </c>
      <c r="B287" s="19"/>
      <c r="C287" s="20"/>
      <c r="D287" s="18" t="str">
        <f aca="false">IF(C287="","",INDEX(Degraus!$B$5:$B$24,C287))</f>
        <v/>
      </c>
      <c r="E287" s="20"/>
      <c r="F287" s="21"/>
      <c r="G287" s="18" t="str">
        <f aca="false">IF(B287="","",INT((B287-MIN($B$5:$B$304))/7)+1)</f>
        <v/>
      </c>
      <c r="H287" s="18" t="str">
        <f aca="false">IF(OR(C287="",E287=""),"",IF(E287=3,MAX(1,C287-2),IF(E287=2,MAX(1,C287-1),IF(AND(C286=C287,C285=C287,E286&lt;&gt;"",E285&lt;&gt;"",E286&lt;=1,E285&lt;=1),MIN(20,C287+1),C287))))</f>
        <v/>
      </c>
      <c r="I287" s="22" t="str">
        <f aca="false">IF(H287="","",IF(H287&gt;C287,"Suba para o degrau "&amp;H287&amp;" ("&amp;INDEX(Degraus!$B$5:$B$24,H287)&amp;")",IF(H287&lt;C287,"Desça para o degrau "&amp;H287&amp;" ("&amp;INDEX(Degraus!$B$5:$B$24,H287)&amp;")","Repita o degrau "&amp;C287&amp;" até 3 sessões calmas seguidas")))</f>
        <v/>
      </c>
    </row>
    <row r="288" customFormat="false" ht="15" hidden="false" customHeight="false" outlineLevel="0" collapsed="false">
      <c r="A288" s="18" t="str">
        <f aca="false">IF(B288="","",ROW()-4)</f>
        <v/>
      </c>
      <c r="B288" s="19"/>
      <c r="C288" s="20"/>
      <c r="D288" s="18" t="str">
        <f aca="false">IF(C288="","",INDEX(Degraus!$B$5:$B$24,C288))</f>
        <v/>
      </c>
      <c r="E288" s="20"/>
      <c r="F288" s="21"/>
      <c r="G288" s="18" t="str">
        <f aca="false">IF(B288="","",INT((B288-MIN($B$5:$B$304))/7)+1)</f>
        <v/>
      </c>
      <c r="H288" s="18" t="str">
        <f aca="false">IF(OR(C288="",E288=""),"",IF(E288=3,MAX(1,C288-2),IF(E288=2,MAX(1,C288-1),IF(AND(C287=C288,C286=C288,E287&lt;&gt;"",E286&lt;&gt;"",E287&lt;=1,E286&lt;=1),MIN(20,C288+1),C288))))</f>
        <v/>
      </c>
      <c r="I288" s="22" t="str">
        <f aca="false">IF(H288="","",IF(H288&gt;C288,"Suba para o degrau "&amp;H288&amp;" ("&amp;INDEX(Degraus!$B$5:$B$24,H288)&amp;")",IF(H288&lt;C288,"Desça para o degrau "&amp;H288&amp;" ("&amp;INDEX(Degraus!$B$5:$B$24,H288)&amp;")","Repita o degrau "&amp;C288&amp;" até 3 sessões calmas seguidas")))</f>
        <v/>
      </c>
    </row>
    <row r="289" customFormat="false" ht="15" hidden="false" customHeight="false" outlineLevel="0" collapsed="false">
      <c r="A289" s="18" t="str">
        <f aca="false">IF(B289="","",ROW()-4)</f>
        <v/>
      </c>
      <c r="B289" s="19"/>
      <c r="C289" s="20"/>
      <c r="D289" s="18" t="str">
        <f aca="false">IF(C289="","",INDEX(Degraus!$B$5:$B$24,C289))</f>
        <v/>
      </c>
      <c r="E289" s="20"/>
      <c r="F289" s="21"/>
      <c r="G289" s="18" t="str">
        <f aca="false">IF(B289="","",INT((B289-MIN($B$5:$B$304))/7)+1)</f>
        <v/>
      </c>
      <c r="H289" s="18" t="str">
        <f aca="false">IF(OR(C289="",E289=""),"",IF(E289=3,MAX(1,C289-2),IF(E289=2,MAX(1,C289-1),IF(AND(C288=C289,C287=C289,E288&lt;&gt;"",E287&lt;&gt;"",E288&lt;=1,E287&lt;=1),MIN(20,C289+1),C289))))</f>
        <v/>
      </c>
      <c r="I289" s="22" t="str">
        <f aca="false">IF(H289="","",IF(H289&gt;C289,"Suba para o degrau "&amp;H289&amp;" ("&amp;INDEX(Degraus!$B$5:$B$24,H289)&amp;")",IF(H289&lt;C289,"Desça para o degrau "&amp;H289&amp;" ("&amp;INDEX(Degraus!$B$5:$B$24,H289)&amp;")","Repita o degrau "&amp;C289&amp;" até 3 sessões calmas seguidas")))</f>
        <v/>
      </c>
    </row>
    <row r="290" customFormat="false" ht="15" hidden="false" customHeight="false" outlineLevel="0" collapsed="false">
      <c r="A290" s="18" t="str">
        <f aca="false">IF(B290="","",ROW()-4)</f>
        <v/>
      </c>
      <c r="B290" s="19"/>
      <c r="C290" s="20"/>
      <c r="D290" s="18" t="str">
        <f aca="false">IF(C290="","",INDEX(Degraus!$B$5:$B$24,C290))</f>
        <v/>
      </c>
      <c r="E290" s="20"/>
      <c r="F290" s="21"/>
      <c r="G290" s="18" t="str">
        <f aca="false">IF(B290="","",INT((B290-MIN($B$5:$B$304))/7)+1)</f>
        <v/>
      </c>
      <c r="H290" s="18" t="str">
        <f aca="false">IF(OR(C290="",E290=""),"",IF(E290=3,MAX(1,C290-2),IF(E290=2,MAX(1,C290-1),IF(AND(C289=C290,C288=C290,E289&lt;&gt;"",E288&lt;&gt;"",E289&lt;=1,E288&lt;=1),MIN(20,C290+1),C290))))</f>
        <v/>
      </c>
      <c r="I290" s="22" t="str">
        <f aca="false">IF(H290="","",IF(H290&gt;C290,"Suba para o degrau "&amp;H290&amp;" ("&amp;INDEX(Degraus!$B$5:$B$24,H290)&amp;")",IF(H290&lt;C290,"Desça para o degrau "&amp;H290&amp;" ("&amp;INDEX(Degraus!$B$5:$B$24,H290)&amp;")","Repita o degrau "&amp;C290&amp;" até 3 sessões calmas seguidas")))</f>
        <v/>
      </c>
    </row>
    <row r="291" customFormat="false" ht="15" hidden="false" customHeight="false" outlineLevel="0" collapsed="false">
      <c r="A291" s="18" t="str">
        <f aca="false">IF(B291="","",ROW()-4)</f>
        <v/>
      </c>
      <c r="B291" s="19"/>
      <c r="C291" s="20"/>
      <c r="D291" s="18" t="str">
        <f aca="false">IF(C291="","",INDEX(Degraus!$B$5:$B$24,C291))</f>
        <v/>
      </c>
      <c r="E291" s="20"/>
      <c r="F291" s="21"/>
      <c r="G291" s="18" t="str">
        <f aca="false">IF(B291="","",INT((B291-MIN($B$5:$B$304))/7)+1)</f>
        <v/>
      </c>
      <c r="H291" s="18" t="str">
        <f aca="false">IF(OR(C291="",E291=""),"",IF(E291=3,MAX(1,C291-2),IF(E291=2,MAX(1,C291-1),IF(AND(C290=C291,C289=C291,E290&lt;&gt;"",E289&lt;&gt;"",E290&lt;=1,E289&lt;=1),MIN(20,C291+1),C291))))</f>
        <v/>
      </c>
      <c r="I291" s="22" t="str">
        <f aca="false">IF(H291="","",IF(H291&gt;C291,"Suba para o degrau "&amp;H291&amp;" ("&amp;INDEX(Degraus!$B$5:$B$24,H291)&amp;")",IF(H291&lt;C291,"Desça para o degrau "&amp;H291&amp;" ("&amp;INDEX(Degraus!$B$5:$B$24,H291)&amp;")","Repita o degrau "&amp;C291&amp;" até 3 sessões calmas seguidas")))</f>
        <v/>
      </c>
    </row>
    <row r="292" customFormat="false" ht="15" hidden="false" customHeight="false" outlineLevel="0" collapsed="false">
      <c r="A292" s="18" t="str">
        <f aca="false">IF(B292="","",ROW()-4)</f>
        <v/>
      </c>
      <c r="B292" s="19"/>
      <c r="C292" s="20"/>
      <c r="D292" s="18" t="str">
        <f aca="false">IF(C292="","",INDEX(Degraus!$B$5:$B$24,C292))</f>
        <v/>
      </c>
      <c r="E292" s="20"/>
      <c r="F292" s="21"/>
      <c r="G292" s="18" t="str">
        <f aca="false">IF(B292="","",INT((B292-MIN($B$5:$B$304))/7)+1)</f>
        <v/>
      </c>
      <c r="H292" s="18" t="str">
        <f aca="false">IF(OR(C292="",E292=""),"",IF(E292=3,MAX(1,C292-2),IF(E292=2,MAX(1,C292-1),IF(AND(C291=C292,C290=C292,E291&lt;&gt;"",E290&lt;&gt;"",E291&lt;=1,E290&lt;=1),MIN(20,C292+1),C292))))</f>
        <v/>
      </c>
      <c r="I292" s="22" t="str">
        <f aca="false">IF(H292="","",IF(H292&gt;C292,"Suba para o degrau "&amp;H292&amp;" ("&amp;INDEX(Degraus!$B$5:$B$24,H292)&amp;")",IF(H292&lt;C292,"Desça para o degrau "&amp;H292&amp;" ("&amp;INDEX(Degraus!$B$5:$B$24,H292)&amp;")","Repita o degrau "&amp;C292&amp;" até 3 sessões calmas seguidas")))</f>
        <v/>
      </c>
    </row>
    <row r="293" customFormat="false" ht="15" hidden="false" customHeight="false" outlineLevel="0" collapsed="false">
      <c r="A293" s="18" t="str">
        <f aca="false">IF(B293="","",ROW()-4)</f>
        <v/>
      </c>
      <c r="B293" s="19"/>
      <c r="C293" s="20"/>
      <c r="D293" s="18" t="str">
        <f aca="false">IF(C293="","",INDEX(Degraus!$B$5:$B$24,C293))</f>
        <v/>
      </c>
      <c r="E293" s="20"/>
      <c r="F293" s="21"/>
      <c r="G293" s="18" t="str">
        <f aca="false">IF(B293="","",INT((B293-MIN($B$5:$B$304))/7)+1)</f>
        <v/>
      </c>
      <c r="H293" s="18" t="str">
        <f aca="false">IF(OR(C293="",E293=""),"",IF(E293=3,MAX(1,C293-2),IF(E293=2,MAX(1,C293-1),IF(AND(C292=C293,C291=C293,E292&lt;&gt;"",E291&lt;&gt;"",E292&lt;=1,E291&lt;=1),MIN(20,C293+1),C293))))</f>
        <v/>
      </c>
      <c r="I293" s="22" t="str">
        <f aca="false">IF(H293="","",IF(H293&gt;C293,"Suba para o degrau "&amp;H293&amp;" ("&amp;INDEX(Degraus!$B$5:$B$24,H293)&amp;")",IF(H293&lt;C293,"Desça para o degrau "&amp;H293&amp;" ("&amp;INDEX(Degraus!$B$5:$B$24,H293)&amp;")","Repita o degrau "&amp;C293&amp;" até 3 sessões calmas seguidas")))</f>
        <v/>
      </c>
    </row>
    <row r="294" customFormat="false" ht="15" hidden="false" customHeight="false" outlineLevel="0" collapsed="false">
      <c r="A294" s="18" t="str">
        <f aca="false">IF(B294="","",ROW()-4)</f>
        <v/>
      </c>
      <c r="B294" s="19"/>
      <c r="C294" s="20"/>
      <c r="D294" s="18" t="str">
        <f aca="false">IF(C294="","",INDEX(Degraus!$B$5:$B$24,C294))</f>
        <v/>
      </c>
      <c r="E294" s="20"/>
      <c r="F294" s="21"/>
      <c r="G294" s="18" t="str">
        <f aca="false">IF(B294="","",INT((B294-MIN($B$5:$B$304))/7)+1)</f>
        <v/>
      </c>
      <c r="H294" s="18" t="str">
        <f aca="false">IF(OR(C294="",E294=""),"",IF(E294=3,MAX(1,C294-2),IF(E294=2,MAX(1,C294-1),IF(AND(C293=C294,C292=C294,E293&lt;&gt;"",E292&lt;&gt;"",E293&lt;=1,E292&lt;=1),MIN(20,C294+1),C294))))</f>
        <v/>
      </c>
      <c r="I294" s="22" t="str">
        <f aca="false">IF(H294="","",IF(H294&gt;C294,"Suba para o degrau "&amp;H294&amp;" ("&amp;INDEX(Degraus!$B$5:$B$24,H294)&amp;")",IF(H294&lt;C294,"Desça para o degrau "&amp;H294&amp;" ("&amp;INDEX(Degraus!$B$5:$B$24,H294)&amp;")","Repita o degrau "&amp;C294&amp;" até 3 sessões calmas seguidas")))</f>
        <v/>
      </c>
    </row>
    <row r="295" customFormat="false" ht="15" hidden="false" customHeight="false" outlineLevel="0" collapsed="false">
      <c r="A295" s="18" t="str">
        <f aca="false">IF(B295="","",ROW()-4)</f>
        <v/>
      </c>
      <c r="B295" s="19"/>
      <c r="C295" s="20"/>
      <c r="D295" s="18" t="str">
        <f aca="false">IF(C295="","",INDEX(Degraus!$B$5:$B$24,C295))</f>
        <v/>
      </c>
      <c r="E295" s="20"/>
      <c r="F295" s="21"/>
      <c r="G295" s="18" t="str">
        <f aca="false">IF(B295="","",INT((B295-MIN($B$5:$B$304))/7)+1)</f>
        <v/>
      </c>
      <c r="H295" s="18" t="str">
        <f aca="false">IF(OR(C295="",E295=""),"",IF(E295=3,MAX(1,C295-2),IF(E295=2,MAX(1,C295-1),IF(AND(C294=C295,C293=C295,E294&lt;&gt;"",E293&lt;&gt;"",E294&lt;=1,E293&lt;=1),MIN(20,C295+1),C295))))</f>
        <v/>
      </c>
      <c r="I295" s="22" t="str">
        <f aca="false">IF(H295="","",IF(H295&gt;C295,"Suba para o degrau "&amp;H295&amp;" ("&amp;INDEX(Degraus!$B$5:$B$24,H295)&amp;")",IF(H295&lt;C295,"Desça para o degrau "&amp;H295&amp;" ("&amp;INDEX(Degraus!$B$5:$B$24,H295)&amp;")","Repita o degrau "&amp;C295&amp;" até 3 sessões calmas seguidas")))</f>
        <v/>
      </c>
    </row>
    <row r="296" customFormat="false" ht="15" hidden="false" customHeight="false" outlineLevel="0" collapsed="false">
      <c r="A296" s="18" t="str">
        <f aca="false">IF(B296="","",ROW()-4)</f>
        <v/>
      </c>
      <c r="B296" s="19"/>
      <c r="C296" s="20"/>
      <c r="D296" s="18" t="str">
        <f aca="false">IF(C296="","",INDEX(Degraus!$B$5:$B$24,C296))</f>
        <v/>
      </c>
      <c r="E296" s="20"/>
      <c r="F296" s="21"/>
      <c r="G296" s="18" t="str">
        <f aca="false">IF(B296="","",INT((B296-MIN($B$5:$B$304))/7)+1)</f>
        <v/>
      </c>
      <c r="H296" s="18" t="str">
        <f aca="false">IF(OR(C296="",E296=""),"",IF(E296=3,MAX(1,C296-2),IF(E296=2,MAX(1,C296-1),IF(AND(C295=C296,C294=C296,E295&lt;&gt;"",E294&lt;&gt;"",E295&lt;=1,E294&lt;=1),MIN(20,C296+1),C296))))</f>
        <v/>
      </c>
      <c r="I296" s="22" t="str">
        <f aca="false">IF(H296="","",IF(H296&gt;C296,"Suba para o degrau "&amp;H296&amp;" ("&amp;INDEX(Degraus!$B$5:$B$24,H296)&amp;")",IF(H296&lt;C296,"Desça para o degrau "&amp;H296&amp;" ("&amp;INDEX(Degraus!$B$5:$B$24,H296)&amp;")","Repita o degrau "&amp;C296&amp;" até 3 sessões calmas seguidas")))</f>
        <v/>
      </c>
    </row>
    <row r="297" customFormat="false" ht="15" hidden="false" customHeight="false" outlineLevel="0" collapsed="false">
      <c r="A297" s="18" t="str">
        <f aca="false">IF(B297="","",ROW()-4)</f>
        <v/>
      </c>
      <c r="B297" s="19"/>
      <c r="C297" s="20"/>
      <c r="D297" s="18" t="str">
        <f aca="false">IF(C297="","",INDEX(Degraus!$B$5:$B$24,C297))</f>
        <v/>
      </c>
      <c r="E297" s="20"/>
      <c r="F297" s="21"/>
      <c r="G297" s="18" t="str">
        <f aca="false">IF(B297="","",INT((B297-MIN($B$5:$B$304))/7)+1)</f>
        <v/>
      </c>
      <c r="H297" s="18" t="str">
        <f aca="false">IF(OR(C297="",E297=""),"",IF(E297=3,MAX(1,C297-2),IF(E297=2,MAX(1,C297-1),IF(AND(C296=C297,C295=C297,E296&lt;&gt;"",E295&lt;&gt;"",E296&lt;=1,E295&lt;=1),MIN(20,C297+1),C297))))</f>
        <v/>
      </c>
      <c r="I297" s="22" t="str">
        <f aca="false">IF(H297="","",IF(H297&gt;C297,"Suba para o degrau "&amp;H297&amp;" ("&amp;INDEX(Degraus!$B$5:$B$24,H297)&amp;")",IF(H297&lt;C297,"Desça para o degrau "&amp;H297&amp;" ("&amp;INDEX(Degraus!$B$5:$B$24,H297)&amp;")","Repita o degrau "&amp;C297&amp;" até 3 sessões calmas seguidas")))</f>
        <v/>
      </c>
    </row>
    <row r="298" customFormat="false" ht="15" hidden="false" customHeight="false" outlineLevel="0" collapsed="false">
      <c r="A298" s="18" t="str">
        <f aca="false">IF(B298="","",ROW()-4)</f>
        <v/>
      </c>
      <c r="B298" s="19"/>
      <c r="C298" s="20"/>
      <c r="D298" s="18" t="str">
        <f aca="false">IF(C298="","",INDEX(Degraus!$B$5:$B$24,C298))</f>
        <v/>
      </c>
      <c r="E298" s="20"/>
      <c r="F298" s="21"/>
      <c r="G298" s="18" t="str">
        <f aca="false">IF(B298="","",INT((B298-MIN($B$5:$B$304))/7)+1)</f>
        <v/>
      </c>
      <c r="H298" s="18" t="str">
        <f aca="false">IF(OR(C298="",E298=""),"",IF(E298=3,MAX(1,C298-2),IF(E298=2,MAX(1,C298-1),IF(AND(C297=C298,C296=C298,E297&lt;&gt;"",E296&lt;&gt;"",E297&lt;=1,E296&lt;=1),MIN(20,C298+1),C298))))</f>
        <v/>
      </c>
      <c r="I298" s="22" t="str">
        <f aca="false">IF(H298="","",IF(H298&gt;C298,"Suba para o degrau "&amp;H298&amp;" ("&amp;INDEX(Degraus!$B$5:$B$24,H298)&amp;")",IF(H298&lt;C298,"Desça para o degrau "&amp;H298&amp;" ("&amp;INDEX(Degraus!$B$5:$B$24,H298)&amp;")","Repita o degrau "&amp;C298&amp;" até 3 sessões calmas seguidas")))</f>
        <v/>
      </c>
    </row>
    <row r="299" customFormat="false" ht="15" hidden="false" customHeight="false" outlineLevel="0" collapsed="false">
      <c r="A299" s="18" t="str">
        <f aca="false">IF(B299="","",ROW()-4)</f>
        <v/>
      </c>
      <c r="B299" s="19"/>
      <c r="C299" s="20"/>
      <c r="D299" s="18" t="str">
        <f aca="false">IF(C299="","",INDEX(Degraus!$B$5:$B$24,C299))</f>
        <v/>
      </c>
      <c r="E299" s="20"/>
      <c r="F299" s="21"/>
      <c r="G299" s="18" t="str">
        <f aca="false">IF(B299="","",INT((B299-MIN($B$5:$B$304))/7)+1)</f>
        <v/>
      </c>
      <c r="H299" s="18" t="str">
        <f aca="false">IF(OR(C299="",E299=""),"",IF(E299=3,MAX(1,C299-2),IF(E299=2,MAX(1,C299-1),IF(AND(C298=C299,C297=C299,E298&lt;&gt;"",E297&lt;&gt;"",E298&lt;=1,E297&lt;=1),MIN(20,C299+1),C299))))</f>
        <v/>
      </c>
      <c r="I299" s="22" t="str">
        <f aca="false">IF(H299="","",IF(H299&gt;C299,"Suba para o degrau "&amp;H299&amp;" ("&amp;INDEX(Degraus!$B$5:$B$24,H299)&amp;")",IF(H299&lt;C299,"Desça para o degrau "&amp;H299&amp;" ("&amp;INDEX(Degraus!$B$5:$B$24,H299)&amp;")","Repita o degrau "&amp;C299&amp;" até 3 sessões calmas seguidas")))</f>
        <v/>
      </c>
    </row>
    <row r="300" customFormat="false" ht="15" hidden="false" customHeight="false" outlineLevel="0" collapsed="false">
      <c r="A300" s="18" t="str">
        <f aca="false">IF(B300="","",ROW()-4)</f>
        <v/>
      </c>
      <c r="B300" s="19"/>
      <c r="C300" s="20"/>
      <c r="D300" s="18" t="str">
        <f aca="false">IF(C300="","",INDEX(Degraus!$B$5:$B$24,C300))</f>
        <v/>
      </c>
      <c r="E300" s="20"/>
      <c r="F300" s="21"/>
      <c r="G300" s="18" t="str">
        <f aca="false">IF(B300="","",INT((B300-MIN($B$5:$B$304))/7)+1)</f>
        <v/>
      </c>
      <c r="H300" s="18" t="str">
        <f aca="false">IF(OR(C300="",E300=""),"",IF(E300=3,MAX(1,C300-2),IF(E300=2,MAX(1,C300-1),IF(AND(C299=C300,C298=C300,E299&lt;&gt;"",E298&lt;&gt;"",E299&lt;=1,E298&lt;=1),MIN(20,C300+1),C300))))</f>
        <v/>
      </c>
      <c r="I300" s="22" t="str">
        <f aca="false">IF(H300="","",IF(H300&gt;C300,"Suba para o degrau "&amp;H300&amp;" ("&amp;INDEX(Degraus!$B$5:$B$24,H300)&amp;")",IF(H300&lt;C300,"Desça para o degrau "&amp;H300&amp;" ("&amp;INDEX(Degraus!$B$5:$B$24,H300)&amp;")","Repita o degrau "&amp;C300&amp;" até 3 sessões calmas seguidas")))</f>
        <v/>
      </c>
    </row>
    <row r="301" customFormat="false" ht="15" hidden="false" customHeight="false" outlineLevel="0" collapsed="false">
      <c r="A301" s="18" t="str">
        <f aca="false">IF(B301="","",ROW()-4)</f>
        <v/>
      </c>
      <c r="B301" s="19"/>
      <c r="C301" s="20"/>
      <c r="D301" s="18" t="str">
        <f aca="false">IF(C301="","",INDEX(Degraus!$B$5:$B$24,C301))</f>
        <v/>
      </c>
      <c r="E301" s="20"/>
      <c r="F301" s="21"/>
      <c r="G301" s="18" t="str">
        <f aca="false">IF(B301="","",INT((B301-MIN($B$5:$B$304))/7)+1)</f>
        <v/>
      </c>
      <c r="H301" s="18" t="str">
        <f aca="false">IF(OR(C301="",E301=""),"",IF(E301=3,MAX(1,C301-2),IF(E301=2,MAX(1,C301-1),IF(AND(C300=C301,C299=C301,E300&lt;&gt;"",E299&lt;&gt;"",E300&lt;=1,E299&lt;=1),MIN(20,C301+1),C301))))</f>
        <v/>
      </c>
      <c r="I301" s="22" t="str">
        <f aca="false">IF(H301="","",IF(H301&gt;C301,"Suba para o degrau "&amp;H301&amp;" ("&amp;INDEX(Degraus!$B$5:$B$24,H301)&amp;")",IF(H301&lt;C301,"Desça para o degrau "&amp;H301&amp;" ("&amp;INDEX(Degraus!$B$5:$B$24,H301)&amp;")","Repita o degrau "&amp;C301&amp;" até 3 sessões calmas seguidas")))</f>
        <v/>
      </c>
    </row>
    <row r="302" customFormat="false" ht="15" hidden="false" customHeight="false" outlineLevel="0" collapsed="false">
      <c r="A302" s="18" t="str">
        <f aca="false">IF(B302="","",ROW()-4)</f>
        <v/>
      </c>
      <c r="B302" s="19"/>
      <c r="C302" s="20"/>
      <c r="D302" s="18" t="str">
        <f aca="false">IF(C302="","",INDEX(Degraus!$B$5:$B$24,C302))</f>
        <v/>
      </c>
      <c r="E302" s="20"/>
      <c r="F302" s="21"/>
      <c r="G302" s="18" t="str">
        <f aca="false">IF(B302="","",INT((B302-MIN($B$5:$B$304))/7)+1)</f>
        <v/>
      </c>
      <c r="H302" s="18" t="str">
        <f aca="false">IF(OR(C302="",E302=""),"",IF(E302=3,MAX(1,C302-2),IF(E302=2,MAX(1,C302-1),IF(AND(C301=C302,C300=C302,E301&lt;&gt;"",E300&lt;&gt;"",E301&lt;=1,E300&lt;=1),MIN(20,C302+1),C302))))</f>
        <v/>
      </c>
      <c r="I302" s="22" t="str">
        <f aca="false">IF(H302="","",IF(H302&gt;C302,"Suba para o degrau "&amp;H302&amp;" ("&amp;INDEX(Degraus!$B$5:$B$24,H302)&amp;")",IF(H302&lt;C302,"Desça para o degrau "&amp;H302&amp;" ("&amp;INDEX(Degraus!$B$5:$B$24,H302)&amp;")","Repita o degrau "&amp;C302&amp;" até 3 sessões calmas seguidas")))</f>
        <v/>
      </c>
    </row>
    <row r="303" customFormat="false" ht="15" hidden="false" customHeight="false" outlineLevel="0" collapsed="false">
      <c r="A303" s="18" t="str">
        <f aca="false">IF(B303="","",ROW()-4)</f>
        <v/>
      </c>
      <c r="B303" s="19"/>
      <c r="C303" s="20"/>
      <c r="D303" s="18" t="str">
        <f aca="false">IF(C303="","",INDEX(Degraus!$B$5:$B$24,C303))</f>
        <v/>
      </c>
      <c r="E303" s="20"/>
      <c r="F303" s="21"/>
      <c r="G303" s="18" t="str">
        <f aca="false">IF(B303="","",INT((B303-MIN($B$5:$B$304))/7)+1)</f>
        <v/>
      </c>
      <c r="H303" s="18" t="str">
        <f aca="false">IF(OR(C303="",E303=""),"",IF(E303=3,MAX(1,C303-2),IF(E303=2,MAX(1,C303-1),IF(AND(C302=C303,C301=C303,E302&lt;&gt;"",E301&lt;&gt;"",E302&lt;=1,E301&lt;=1),MIN(20,C303+1),C303))))</f>
        <v/>
      </c>
      <c r="I303" s="22" t="str">
        <f aca="false">IF(H303="","",IF(H303&gt;C303,"Suba para o degrau "&amp;H303&amp;" ("&amp;INDEX(Degraus!$B$5:$B$24,H303)&amp;")",IF(H303&lt;C303,"Desça para o degrau "&amp;H303&amp;" ("&amp;INDEX(Degraus!$B$5:$B$24,H303)&amp;")","Repita o degrau "&amp;C303&amp;" até 3 sessões calmas seguidas")))</f>
        <v/>
      </c>
    </row>
    <row r="304" customFormat="false" ht="15" hidden="false" customHeight="false" outlineLevel="0" collapsed="false">
      <c r="A304" s="18" t="str">
        <f aca="false">IF(B304="","",ROW()-4)</f>
        <v/>
      </c>
      <c r="B304" s="19"/>
      <c r="C304" s="20"/>
      <c r="D304" s="18" t="str">
        <f aca="false">IF(C304="","",INDEX(Degraus!$B$5:$B$24,C304))</f>
        <v/>
      </c>
      <c r="E304" s="20"/>
      <c r="F304" s="21"/>
      <c r="G304" s="18" t="str">
        <f aca="false">IF(B304="","",INT((B304-MIN($B$5:$B$304))/7)+1)</f>
        <v/>
      </c>
      <c r="H304" s="18" t="str">
        <f aca="false">IF(OR(C304="",E304=""),"",IF(E304=3,MAX(1,C304-2),IF(E304=2,MAX(1,C304-1),IF(AND(C303=C304,C302=C304,E303&lt;&gt;"",E302&lt;&gt;"",E303&lt;=1,E302&lt;=1),MIN(20,C304+1),C304))))</f>
        <v/>
      </c>
      <c r="I304" s="22" t="str">
        <f aca="false">IF(H304="","",IF(H304&gt;C304,"Suba para o degrau "&amp;H304&amp;" ("&amp;INDEX(Degraus!$B$5:$B$24,H304)&amp;")",IF(H304&lt;C304,"Desça para o degrau "&amp;H304&amp;" ("&amp;INDEX(Degraus!$B$5:$B$24,H304)&amp;")","Repita o degrau "&amp;C304&amp;" até 3 sessões calmas seguidas")))</f>
        <v/>
      </c>
    </row>
  </sheetData>
  <conditionalFormatting sqref="E5:E304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3</formula>
    </cfRule>
  </conditionalFormatting>
  <dataValidations count="3">
    <dataValidation allowBlank="true" error="Use um número de 1 a 20." errorStyle="stop" errorTitle="Degrau inválido" operator="between" showDropDown="false" showErrorMessage="true" showInputMessage="false" sqref="C5:C304" type="whole">
      <formula1>1</formula1>
      <formula2>20</formula2>
    </dataValidation>
    <dataValidation allowBlank="true" error="Use 0, 1, 2 ou 3 (Escala de Reação)." errorStyle="stop" errorTitle="Nota inválida" operator="between" showDropDown="false" showErrorMessage="true" showInputMessage="false" sqref="E5:E304" type="list">
      <formula1>"0,1,2,3"</formula1>
      <formula2>0</formula2>
    </dataValidation>
    <dataValidation allowBlank="true" error="Digite uma data, por exemplo 05/10/2026." errorStyle="stop" errorTitle="Data inválida" operator="greaterThan" showDropDown="false" showErrorMessage="true" showInputMessage="false" sqref="B5:B3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A33B"/>
    <pageSetUpPr fitToPage="tru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6" t="s">
        <v>50</v>
      </c>
    </row>
    <row r="2" customFormat="false" ht="15" hidden="false" customHeight="false" outlineLevel="0" collapsed="false">
      <c r="A2" s="2" t="s">
        <v>51</v>
      </c>
    </row>
    <row r="4" customFormat="false" ht="24" hidden="false" customHeight="true" outlineLevel="0" collapsed="false">
      <c r="A4" s="23" t="s">
        <v>52</v>
      </c>
      <c r="B4" s="24" t="n">
        <f aca="false">COUNT(Registro!$C$5:$C$304)</f>
        <v>0</v>
      </c>
    </row>
    <row r="5" customFormat="false" ht="24" hidden="false" customHeight="true" outlineLevel="0" collapsed="false">
      <c r="A5" s="23" t="s">
        <v>53</v>
      </c>
      <c r="B5" s="24" t="str">
        <f aca="false">IF(COUNT(Registro!$C$5:$C$304)=0,"",INDEX(Registro!$C$5:$C$304,MATCH(9.99E+307,Registro!$C$5:$C$304)))</f>
        <v/>
      </c>
    </row>
    <row r="6" customFormat="false" ht="24" hidden="false" customHeight="true" outlineLevel="0" collapsed="false">
      <c r="A6" s="23" t="s">
        <v>54</v>
      </c>
      <c r="B6" s="24" t="str">
        <f aca="false">IF(COUNT(Registro!$C$5:$C$304)=0,"",INDEX(Registro!$H$5:$H$304,MATCH(9.99E+307,Registro!$C$5:$C$304)))</f>
        <v/>
      </c>
    </row>
    <row r="7" customFormat="false" ht="24" hidden="false" customHeight="true" outlineLevel="0" collapsed="false">
      <c r="A7" s="23" t="s">
        <v>55</v>
      </c>
      <c r="B7" s="24" t="str">
        <f aca="false">IF(COUNTIF(Registro!$E$5:$E$304,0)=0,"",_xlfn.MAXIFS(Registro!$C$5:$C$304,Registro!$E$5:$E$304,0))</f>
        <v/>
      </c>
    </row>
    <row r="8" customFormat="false" ht="24" hidden="false" customHeight="true" outlineLevel="0" collapsed="false">
      <c r="A8" s="23" t="s">
        <v>56</v>
      </c>
      <c r="B8" s="25" t="str">
        <f aca="false">IF(B7="","",INDEX(Degraus!$B$5:$B$24,B7))</f>
        <v/>
      </c>
    </row>
    <row r="11" customFormat="false" ht="31.5" hidden="false" customHeight="true" outlineLevel="0" collapsed="false">
      <c r="A11" s="17" t="s">
        <v>47</v>
      </c>
      <c r="B11" s="17" t="s">
        <v>57</v>
      </c>
      <c r="C11" s="17" t="s">
        <v>58</v>
      </c>
      <c r="D11" s="17" t="s">
        <v>59</v>
      </c>
      <c r="E11" s="17" t="s">
        <v>60</v>
      </c>
      <c r="F11" s="17" t="s">
        <v>61</v>
      </c>
    </row>
    <row r="12" customFormat="false" ht="15" hidden="false" customHeight="false" outlineLevel="0" collapsed="false">
      <c r="A12" s="26" t="n">
        <v>1</v>
      </c>
      <c r="B12" s="26" t="n">
        <f aca="false">COUNTIF(Registro!$G$5:$G$304,A12)</f>
        <v>0</v>
      </c>
      <c r="C12" s="27" t="str">
        <f aca="false">IF(B12=0,"",AVERAGEIF(Registro!$G$5:$G$304,A12,Registro!$C$5:$C$304))</f>
        <v/>
      </c>
      <c r="D12" s="26" t="str">
        <f aca="false">IF(B12=0,"",_xlfn.MAXIFS(Registro!$C$5:$C$304,Registro!$G$5:$G$304,A12,Registro!$E$5:$E$304,"&lt;=1"))</f>
        <v/>
      </c>
      <c r="E12" s="28" t="str">
        <f aca="false">IF(B12=0,"",COUNTIFS(Registro!$G$5:$G$304,A12,Registro!$E$5:$E$304,"&lt;=1")/B12)</f>
        <v/>
      </c>
      <c r="F12" s="27" t="str">
        <f aca="false">IF(B12=0,"",AVERAGEIF(Registro!$G$5:$G$304,A12,Registro!$E$5:$E$304))</f>
        <v/>
      </c>
    </row>
    <row r="13" customFormat="false" ht="15" hidden="false" customHeight="false" outlineLevel="0" collapsed="false">
      <c r="A13" s="29" t="n">
        <v>2</v>
      </c>
      <c r="B13" s="29" t="n">
        <f aca="false">COUNTIF(Registro!$G$5:$G$304,A13)</f>
        <v>0</v>
      </c>
      <c r="C13" s="30" t="str">
        <f aca="false">IF(B13=0,"",AVERAGEIF(Registro!$G$5:$G$304,A13,Registro!$C$5:$C$304))</f>
        <v/>
      </c>
      <c r="D13" s="29" t="str">
        <f aca="false">IF(B13=0,"",_xlfn.MAXIFS(Registro!$C$5:$C$304,Registro!$G$5:$G$304,A13,Registro!$E$5:$E$304,"&lt;=1"))</f>
        <v/>
      </c>
      <c r="E13" s="31" t="str">
        <f aca="false">IF(B13=0,"",COUNTIFS(Registro!$G$5:$G$304,A13,Registro!$E$5:$E$304,"&lt;=1")/B13)</f>
        <v/>
      </c>
      <c r="F13" s="30" t="str">
        <f aca="false">IF(B13=0,"",AVERAGEIF(Registro!$G$5:$G$304,A13,Registro!$E$5:$E$304))</f>
        <v/>
      </c>
    </row>
    <row r="14" customFormat="false" ht="15" hidden="false" customHeight="false" outlineLevel="0" collapsed="false">
      <c r="A14" s="26" t="n">
        <v>3</v>
      </c>
      <c r="B14" s="26" t="n">
        <f aca="false">COUNTIF(Registro!$G$5:$G$304,A14)</f>
        <v>0</v>
      </c>
      <c r="C14" s="27" t="str">
        <f aca="false">IF(B14=0,"",AVERAGEIF(Registro!$G$5:$G$304,A14,Registro!$C$5:$C$304))</f>
        <v/>
      </c>
      <c r="D14" s="26" t="str">
        <f aca="false">IF(B14=0,"",_xlfn.MAXIFS(Registro!$C$5:$C$304,Registro!$G$5:$G$304,A14,Registro!$E$5:$E$304,"&lt;=1"))</f>
        <v/>
      </c>
      <c r="E14" s="28" t="str">
        <f aca="false">IF(B14=0,"",COUNTIFS(Registro!$G$5:$G$304,A14,Registro!$E$5:$E$304,"&lt;=1")/B14)</f>
        <v/>
      </c>
      <c r="F14" s="27" t="str">
        <f aca="false">IF(B14=0,"",AVERAGEIF(Registro!$G$5:$G$304,A14,Registro!$E$5:$E$304))</f>
        <v/>
      </c>
    </row>
    <row r="15" customFormat="false" ht="15" hidden="false" customHeight="false" outlineLevel="0" collapsed="false">
      <c r="A15" s="29" t="n">
        <v>4</v>
      </c>
      <c r="B15" s="29" t="n">
        <f aca="false">COUNTIF(Registro!$G$5:$G$304,A15)</f>
        <v>0</v>
      </c>
      <c r="C15" s="30" t="str">
        <f aca="false">IF(B15=0,"",AVERAGEIF(Registro!$G$5:$G$304,A15,Registro!$C$5:$C$304))</f>
        <v/>
      </c>
      <c r="D15" s="29" t="str">
        <f aca="false">IF(B15=0,"",_xlfn.MAXIFS(Registro!$C$5:$C$304,Registro!$G$5:$G$304,A15,Registro!$E$5:$E$304,"&lt;=1"))</f>
        <v/>
      </c>
      <c r="E15" s="31" t="str">
        <f aca="false">IF(B15=0,"",COUNTIFS(Registro!$G$5:$G$304,A15,Registro!$E$5:$E$304,"&lt;=1")/B15)</f>
        <v/>
      </c>
      <c r="F15" s="30" t="str">
        <f aca="false">IF(B15=0,"",AVERAGEIF(Registro!$G$5:$G$304,A15,Registro!$E$5:$E$304))</f>
        <v/>
      </c>
    </row>
    <row r="16" customFormat="false" ht="15" hidden="false" customHeight="false" outlineLevel="0" collapsed="false">
      <c r="A16" s="26" t="n">
        <v>5</v>
      </c>
      <c r="B16" s="26" t="n">
        <f aca="false">COUNTIF(Registro!$G$5:$G$304,A16)</f>
        <v>0</v>
      </c>
      <c r="C16" s="27" t="str">
        <f aca="false">IF(B16=0,"",AVERAGEIF(Registro!$G$5:$G$304,A16,Registro!$C$5:$C$304))</f>
        <v/>
      </c>
      <c r="D16" s="26" t="str">
        <f aca="false">IF(B16=0,"",_xlfn.MAXIFS(Registro!$C$5:$C$304,Registro!$G$5:$G$304,A16,Registro!$E$5:$E$304,"&lt;=1"))</f>
        <v/>
      </c>
      <c r="E16" s="28" t="str">
        <f aca="false">IF(B16=0,"",COUNTIFS(Registro!$G$5:$G$304,A16,Registro!$E$5:$E$304,"&lt;=1")/B16)</f>
        <v/>
      </c>
      <c r="F16" s="27" t="str">
        <f aca="false">IF(B16=0,"",AVERAGEIF(Registro!$G$5:$G$304,A16,Registro!$E$5:$E$304))</f>
        <v/>
      </c>
    </row>
    <row r="17" customFormat="false" ht="15" hidden="false" customHeight="false" outlineLevel="0" collapsed="false">
      <c r="A17" s="29" t="n">
        <v>6</v>
      </c>
      <c r="B17" s="29" t="n">
        <f aca="false">COUNTIF(Registro!$G$5:$G$304,A17)</f>
        <v>0</v>
      </c>
      <c r="C17" s="30" t="str">
        <f aca="false">IF(B17=0,"",AVERAGEIF(Registro!$G$5:$G$304,A17,Registro!$C$5:$C$304))</f>
        <v/>
      </c>
      <c r="D17" s="29" t="str">
        <f aca="false">IF(B17=0,"",_xlfn.MAXIFS(Registro!$C$5:$C$304,Registro!$G$5:$G$304,A17,Registro!$E$5:$E$304,"&lt;=1"))</f>
        <v/>
      </c>
      <c r="E17" s="31" t="str">
        <f aca="false">IF(B17=0,"",COUNTIFS(Registro!$G$5:$G$304,A17,Registro!$E$5:$E$304,"&lt;=1")/B17)</f>
        <v/>
      </c>
      <c r="F17" s="30" t="str">
        <f aca="false">IF(B17=0,"",AVERAGEIF(Registro!$G$5:$G$304,A17,Registro!$E$5:$E$304))</f>
        <v/>
      </c>
    </row>
    <row r="18" customFormat="false" ht="15" hidden="false" customHeight="false" outlineLevel="0" collapsed="false">
      <c r="A18" s="26" t="n">
        <v>7</v>
      </c>
      <c r="B18" s="26" t="n">
        <f aca="false">COUNTIF(Registro!$G$5:$G$304,A18)</f>
        <v>0</v>
      </c>
      <c r="C18" s="27" t="str">
        <f aca="false">IF(B18=0,"",AVERAGEIF(Registro!$G$5:$G$304,A18,Registro!$C$5:$C$304))</f>
        <v/>
      </c>
      <c r="D18" s="26" t="str">
        <f aca="false">IF(B18=0,"",_xlfn.MAXIFS(Registro!$C$5:$C$304,Registro!$G$5:$G$304,A18,Registro!$E$5:$E$304,"&lt;=1"))</f>
        <v/>
      </c>
      <c r="E18" s="28" t="str">
        <f aca="false">IF(B18=0,"",COUNTIFS(Registro!$G$5:$G$304,A18,Registro!$E$5:$E$304,"&lt;=1")/B18)</f>
        <v/>
      </c>
      <c r="F18" s="27" t="str">
        <f aca="false">IF(B18=0,"",AVERAGEIF(Registro!$G$5:$G$304,A18,Registro!$E$5:$E$304))</f>
        <v/>
      </c>
    </row>
    <row r="19" customFormat="false" ht="15" hidden="false" customHeight="false" outlineLevel="0" collapsed="false">
      <c r="A19" s="29" t="n">
        <v>8</v>
      </c>
      <c r="B19" s="29" t="n">
        <f aca="false">COUNTIF(Registro!$G$5:$G$304,A19)</f>
        <v>0</v>
      </c>
      <c r="C19" s="30" t="str">
        <f aca="false">IF(B19=0,"",AVERAGEIF(Registro!$G$5:$G$304,A19,Registro!$C$5:$C$304))</f>
        <v/>
      </c>
      <c r="D19" s="29" t="str">
        <f aca="false">IF(B19=0,"",_xlfn.MAXIFS(Registro!$C$5:$C$304,Registro!$G$5:$G$304,A19,Registro!$E$5:$E$304,"&lt;=1"))</f>
        <v/>
      </c>
      <c r="E19" s="31" t="str">
        <f aca="false">IF(B19=0,"",COUNTIFS(Registro!$G$5:$G$304,A19,Registro!$E$5:$E$304,"&lt;=1")/B19)</f>
        <v/>
      </c>
      <c r="F19" s="30" t="str">
        <f aca="false">IF(B19=0,"",AVERAGEIF(Registro!$G$5:$G$304,A19,Registro!$E$5:$E$304))</f>
        <v/>
      </c>
    </row>
    <row r="20" customFormat="false" ht="15" hidden="false" customHeight="false" outlineLevel="0" collapsed="false">
      <c r="A20" s="26" t="n">
        <v>9</v>
      </c>
      <c r="B20" s="26" t="n">
        <f aca="false">COUNTIF(Registro!$G$5:$G$304,A20)</f>
        <v>0</v>
      </c>
      <c r="C20" s="27" t="str">
        <f aca="false">IF(B20=0,"",AVERAGEIF(Registro!$G$5:$G$304,A20,Registro!$C$5:$C$304))</f>
        <v/>
      </c>
      <c r="D20" s="26" t="str">
        <f aca="false">IF(B20=0,"",_xlfn.MAXIFS(Registro!$C$5:$C$304,Registro!$G$5:$G$304,A20,Registro!$E$5:$E$304,"&lt;=1"))</f>
        <v/>
      </c>
      <c r="E20" s="28" t="str">
        <f aca="false">IF(B20=0,"",COUNTIFS(Registro!$G$5:$G$304,A20,Registro!$E$5:$E$304,"&lt;=1")/B20)</f>
        <v/>
      </c>
      <c r="F20" s="27" t="str">
        <f aca="false">IF(B20=0,"",AVERAGEIF(Registro!$G$5:$G$304,A20,Registro!$E$5:$E$304))</f>
        <v/>
      </c>
    </row>
    <row r="21" customFormat="false" ht="15" hidden="false" customHeight="false" outlineLevel="0" collapsed="false">
      <c r="A21" s="29" t="n">
        <v>10</v>
      </c>
      <c r="B21" s="29" t="n">
        <f aca="false">COUNTIF(Registro!$G$5:$G$304,A21)</f>
        <v>0</v>
      </c>
      <c r="C21" s="30" t="str">
        <f aca="false">IF(B21=0,"",AVERAGEIF(Registro!$G$5:$G$304,A21,Registro!$C$5:$C$304))</f>
        <v/>
      </c>
      <c r="D21" s="29" t="str">
        <f aca="false">IF(B21=0,"",_xlfn.MAXIFS(Registro!$C$5:$C$304,Registro!$G$5:$G$304,A21,Registro!$E$5:$E$304,"&lt;=1"))</f>
        <v/>
      </c>
      <c r="E21" s="31" t="str">
        <f aca="false">IF(B21=0,"",COUNTIFS(Registro!$G$5:$G$304,A21,Registro!$E$5:$E$304,"&lt;=1")/B21)</f>
        <v/>
      </c>
      <c r="F21" s="30" t="str">
        <f aca="false">IF(B21=0,"",AVERAGEIF(Registro!$G$5:$G$304,A21,Registro!$E$5:$E$304))</f>
        <v/>
      </c>
    </row>
    <row r="22" customFormat="false" ht="15" hidden="false" customHeight="false" outlineLevel="0" collapsed="false">
      <c r="A22" s="26" t="n">
        <v>11</v>
      </c>
      <c r="B22" s="26" t="n">
        <f aca="false">COUNTIF(Registro!$G$5:$G$304,A22)</f>
        <v>0</v>
      </c>
      <c r="C22" s="27" t="str">
        <f aca="false">IF(B22=0,"",AVERAGEIF(Registro!$G$5:$G$304,A22,Registro!$C$5:$C$304))</f>
        <v/>
      </c>
      <c r="D22" s="26" t="str">
        <f aca="false">IF(B22=0,"",_xlfn.MAXIFS(Registro!$C$5:$C$304,Registro!$G$5:$G$304,A22,Registro!$E$5:$E$304,"&lt;=1"))</f>
        <v/>
      </c>
      <c r="E22" s="28" t="str">
        <f aca="false">IF(B22=0,"",COUNTIFS(Registro!$G$5:$G$304,A22,Registro!$E$5:$E$304,"&lt;=1")/B22)</f>
        <v/>
      </c>
      <c r="F22" s="27" t="str">
        <f aca="false">IF(B22=0,"",AVERAGEIF(Registro!$G$5:$G$304,A22,Registro!$E$5:$E$304))</f>
        <v/>
      </c>
    </row>
    <row r="23" customFormat="false" ht="15" hidden="false" customHeight="false" outlineLevel="0" collapsed="false">
      <c r="A23" s="29" t="n">
        <v>12</v>
      </c>
      <c r="B23" s="29" t="n">
        <f aca="false">COUNTIF(Registro!$G$5:$G$304,A23)</f>
        <v>0</v>
      </c>
      <c r="C23" s="30" t="str">
        <f aca="false">IF(B23=0,"",AVERAGEIF(Registro!$G$5:$G$304,A23,Registro!$C$5:$C$304))</f>
        <v/>
      </c>
      <c r="D23" s="29" t="str">
        <f aca="false">IF(B23=0,"",_xlfn.MAXIFS(Registro!$C$5:$C$304,Registro!$G$5:$G$304,A23,Registro!$E$5:$E$304,"&lt;=1"))</f>
        <v/>
      </c>
      <c r="E23" s="31" t="str">
        <f aca="false">IF(B23=0,"",COUNTIFS(Registro!$G$5:$G$304,A23,Registro!$E$5:$E$304,"&lt;=1")/B23)</f>
        <v/>
      </c>
      <c r="F23" s="30" t="str">
        <f aca="false">IF(B23=0,"",AVERAGEIF(Registro!$G$5:$G$304,A23,Registro!$E$5:$E$304))</f>
        <v/>
      </c>
    </row>
    <row r="24" customFormat="false" ht="15" hidden="false" customHeight="false" outlineLevel="0" collapsed="false">
      <c r="A24" s="26" t="n">
        <v>13</v>
      </c>
      <c r="B24" s="26" t="n">
        <f aca="false">COUNTIF(Registro!$G$5:$G$304,A24)</f>
        <v>0</v>
      </c>
      <c r="C24" s="27" t="str">
        <f aca="false">IF(B24=0,"",AVERAGEIF(Registro!$G$5:$G$304,A24,Registro!$C$5:$C$304))</f>
        <v/>
      </c>
      <c r="D24" s="26" t="str">
        <f aca="false">IF(B24=0,"",_xlfn.MAXIFS(Registro!$C$5:$C$304,Registro!$G$5:$G$304,A24,Registro!$E$5:$E$304,"&lt;=1"))</f>
        <v/>
      </c>
      <c r="E24" s="28" t="str">
        <f aca="false">IF(B24=0,"",COUNTIFS(Registro!$G$5:$G$304,A24,Registro!$E$5:$E$304,"&lt;=1")/B24)</f>
        <v/>
      </c>
      <c r="F24" s="27" t="str">
        <f aca="false">IF(B24=0,"",AVERAGEIF(Registro!$G$5:$G$304,A24,Registro!$E$5:$E$304))</f>
        <v/>
      </c>
    </row>
    <row r="25" customFormat="false" ht="15" hidden="false" customHeight="false" outlineLevel="0" collapsed="false">
      <c r="A25" s="29" t="n">
        <v>14</v>
      </c>
      <c r="B25" s="29" t="n">
        <f aca="false">COUNTIF(Registro!$G$5:$G$304,A25)</f>
        <v>0</v>
      </c>
      <c r="C25" s="30" t="str">
        <f aca="false">IF(B25=0,"",AVERAGEIF(Registro!$G$5:$G$304,A25,Registro!$C$5:$C$304))</f>
        <v/>
      </c>
      <c r="D25" s="29" t="str">
        <f aca="false">IF(B25=0,"",_xlfn.MAXIFS(Registro!$C$5:$C$304,Registro!$G$5:$G$304,A25,Registro!$E$5:$E$304,"&lt;=1"))</f>
        <v/>
      </c>
      <c r="E25" s="31" t="str">
        <f aca="false">IF(B25=0,"",COUNTIFS(Registro!$G$5:$G$304,A25,Registro!$E$5:$E$304,"&lt;=1")/B25)</f>
        <v/>
      </c>
      <c r="F25" s="30" t="str">
        <f aca="false">IF(B25=0,"",AVERAGEIF(Registro!$G$5:$G$304,A25,Registro!$E$5:$E$304))</f>
        <v/>
      </c>
    </row>
    <row r="26" customFormat="false" ht="15" hidden="false" customHeight="false" outlineLevel="0" collapsed="false">
      <c r="A26" s="26" t="n">
        <v>15</v>
      </c>
      <c r="B26" s="26" t="n">
        <f aca="false">COUNTIF(Registro!$G$5:$G$304,A26)</f>
        <v>0</v>
      </c>
      <c r="C26" s="27" t="str">
        <f aca="false">IF(B26=0,"",AVERAGEIF(Registro!$G$5:$G$304,A26,Registro!$C$5:$C$304))</f>
        <v/>
      </c>
      <c r="D26" s="26" t="str">
        <f aca="false">IF(B26=0,"",_xlfn.MAXIFS(Registro!$C$5:$C$304,Registro!$G$5:$G$304,A26,Registro!$E$5:$E$304,"&lt;=1"))</f>
        <v/>
      </c>
      <c r="E26" s="28" t="str">
        <f aca="false">IF(B26=0,"",COUNTIFS(Registro!$G$5:$G$304,A26,Registro!$E$5:$E$304,"&lt;=1")/B26)</f>
        <v/>
      </c>
      <c r="F26" s="27" t="str">
        <f aca="false">IF(B26=0,"",AVERAGEIF(Registro!$G$5:$G$304,A26,Registro!$E$5:$E$304))</f>
        <v/>
      </c>
    </row>
    <row r="27" customFormat="false" ht="15" hidden="false" customHeight="false" outlineLevel="0" collapsed="false">
      <c r="A27" s="29" t="n">
        <v>16</v>
      </c>
      <c r="B27" s="29" t="n">
        <f aca="false">COUNTIF(Registro!$G$5:$G$304,A27)</f>
        <v>0</v>
      </c>
      <c r="C27" s="30" t="str">
        <f aca="false">IF(B27=0,"",AVERAGEIF(Registro!$G$5:$G$304,A27,Registro!$C$5:$C$304))</f>
        <v/>
      </c>
      <c r="D27" s="29" t="str">
        <f aca="false">IF(B27=0,"",_xlfn.MAXIFS(Registro!$C$5:$C$304,Registro!$G$5:$G$304,A27,Registro!$E$5:$E$304,"&lt;=1"))</f>
        <v/>
      </c>
      <c r="E27" s="31" t="str">
        <f aca="false">IF(B27=0,"",COUNTIFS(Registro!$G$5:$G$304,A27,Registro!$E$5:$E$304,"&lt;=1")/B27)</f>
        <v/>
      </c>
      <c r="F27" s="30" t="str">
        <f aca="false">IF(B27=0,"",AVERAGEIF(Registro!$G$5:$G$304,A27,Registro!$E$5:$E$304))</f>
        <v/>
      </c>
    </row>
    <row r="28" customFormat="false" ht="15" hidden="false" customHeight="false" outlineLevel="0" collapsed="false">
      <c r="A28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A33B"/>
    <pageSetUpPr fitToPage="tru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6" t="s">
        <v>63</v>
      </c>
    </row>
    <row r="2" customFormat="false" ht="15" hidden="false" customHeight="false" outlineLevel="0" collapsed="false">
      <c r="A2" s="2" t="s">
        <v>64</v>
      </c>
    </row>
    <row r="4" customFormat="false" ht="31.5" hidden="false" customHeight="true" outlineLevel="0" collapsed="false">
      <c r="A4" s="17" t="s">
        <v>65</v>
      </c>
      <c r="B4" s="17" t="s">
        <v>66</v>
      </c>
      <c r="C4" s="17" t="s">
        <v>67</v>
      </c>
    </row>
    <row r="5" customFormat="false" ht="15" hidden="false" customHeight="false" outlineLevel="0" collapsed="false">
      <c r="A5" s="26" t="s">
        <v>68</v>
      </c>
      <c r="B5" s="32"/>
      <c r="C5" s="33"/>
    </row>
    <row r="6" customFormat="false" ht="15" hidden="false" customHeight="false" outlineLevel="0" collapsed="false">
      <c r="A6" s="26" t="s">
        <v>69</v>
      </c>
      <c r="B6" s="32"/>
      <c r="C6" s="33"/>
    </row>
    <row r="7" customFormat="false" ht="15" hidden="false" customHeight="false" outlineLevel="0" collapsed="false">
      <c r="A7" s="26" t="s">
        <v>70</v>
      </c>
      <c r="B7" s="32"/>
      <c r="C7" s="33"/>
    </row>
    <row r="8" customFormat="false" ht="15" hidden="false" customHeight="false" outlineLevel="0" collapsed="false">
      <c r="A8" s="26" t="s">
        <v>71</v>
      </c>
      <c r="B8" s="32"/>
      <c r="C8" s="33"/>
    </row>
    <row r="9" customFormat="false" ht="15" hidden="false" customHeight="false" outlineLevel="0" collapsed="false">
      <c r="A9" s="26" t="s">
        <v>72</v>
      </c>
      <c r="B9" s="32"/>
      <c r="C9" s="33"/>
    </row>
    <row r="10" customFormat="false" ht="15" hidden="false" customHeight="false" outlineLevel="0" collapsed="false">
      <c r="A10" s="34" t="s">
        <v>61</v>
      </c>
      <c r="C10" s="35" t="str">
        <f aca="false">IF(COUNT(C5:C9)=0,"",AVERAGE(C5:C9))</f>
        <v/>
      </c>
    </row>
    <row r="11" customFormat="false" ht="15" hidden="false" customHeight="false" outlineLevel="0" collapsed="false">
      <c r="A11" s="36" t="str">
        <f aca="false">IF(C5="","",IF(C5&gt;=2,"O gatilho está nos sinais de saída: comece pela Camada 1."&amp;IF(AND(C9&lt;&gt;"",C9&lt;C5)," A nota caiu até a 5ª tentativa: ótimo sinal.",""),"Os sinais pesam pouco: siga a Camada 1 e já comece a Escada."))</f>
        <v/>
      </c>
    </row>
    <row r="13" customFormat="false" ht="31.5" hidden="false" customHeight="true" outlineLevel="0" collapsed="false">
      <c r="A13" s="17" t="s">
        <v>27</v>
      </c>
      <c r="B13" s="17" t="s">
        <v>73</v>
      </c>
      <c r="C13" s="17" t="s">
        <v>74</v>
      </c>
      <c r="D13" s="17" t="s">
        <v>75</v>
      </c>
      <c r="E13" s="17" t="s">
        <v>76</v>
      </c>
    </row>
    <row r="14" customFormat="false" ht="15" hidden="false" customHeight="false" outlineLevel="0" collapsed="false">
      <c r="A14" s="37"/>
      <c r="B14" s="33"/>
      <c r="C14" s="33"/>
      <c r="D14" s="33"/>
      <c r="E14" s="26" t="str">
        <f aca="false">IF(D14="","","Ainda não: repita este exercício")</f>
        <v/>
      </c>
    </row>
    <row r="15" customFormat="false" ht="15" hidden="false" customHeight="false" outlineLevel="0" collapsed="false">
      <c r="A15" s="37"/>
      <c r="B15" s="33"/>
      <c r="C15" s="33"/>
      <c r="D15" s="33"/>
      <c r="E15" s="26" t="str">
        <f aca="false">IF(D15="","","Ainda não: repita este exercício")</f>
        <v/>
      </c>
    </row>
    <row r="16" customFormat="false" ht="15" hidden="false" customHeight="false" outlineLevel="0" collapsed="false">
      <c r="A16" s="37"/>
      <c r="B16" s="33"/>
      <c r="C16" s="33"/>
      <c r="D16" s="33"/>
      <c r="E16" s="26" t="str">
        <f aca="false">IF(D16="","",IF(AND(B16=B15,B16=B14,D16&lt;=1,D15&lt;=1,D14&lt;=1,D15&lt;&gt;"",D14&lt;&gt;""),"Sim, passe para o próximo exercício","Ainda não: repita este exercício"))</f>
        <v/>
      </c>
    </row>
    <row r="17" customFormat="false" ht="15" hidden="false" customHeight="false" outlineLevel="0" collapsed="false">
      <c r="A17" s="37"/>
      <c r="B17" s="33"/>
      <c r="C17" s="33"/>
      <c r="D17" s="33"/>
      <c r="E17" s="26" t="str">
        <f aca="false">IF(D17="","",IF(AND(B17=B16,B17=B15,D17&lt;=1,D16&lt;=1,D15&lt;=1,D16&lt;&gt;"",D15&lt;&gt;""),"Sim, passe para o próximo exercício","Ainda não: repita este exercício"))</f>
        <v/>
      </c>
    </row>
    <row r="18" customFormat="false" ht="15" hidden="false" customHeight="false" outlineLevel="0" collapsed="false">
      <c r="A18" s="37"/>
      <c r="B18" s="33"/>
      <c r="C18" s="33"/>
      <c r="D18" s="33"/>
      <c r="E18" s="26" t="str">
        <f aca="false">IF(D18="","",IF(AND(B18=B17,B18=B16,D18&lt;=1,D17&lt;=1,D16&lt;=1,D17&lt;&gt;"",D16&lt;&gt;""),"Sim, passe para o próximo exercício","Ainda não: repita este exercício"))</f>
        <v/>
      </c>
    </row>
    <row r="19" customFormat="false" ht="15" hidden="false" customHeight="false" outlineLevel="0" collapsed="false">
      <c r="A19" s="37"/>
      <c r="B19" s="33"/>
      <c r="C19" s="33"/>
      <c r="D19" s="33"/>
      <c r="E19" s="26" t="str">
        <f aca="false">IF(D19="","",IF(AND(B19=B18,B19=B17,D19&lt;=1,D18&lt;=1,D17&lt;=1,D18&lt;&gt;"",D17&lt;&gt;""),"Sim, passe para o próximo exercício","Ainda não: repita este exercício"))</f>
        <v/>
      </c>
    </row>
    <row r="20" customFormat="false" ht="15" hidden="false" customHeight="false" outlineLevel="0" collapsed="false">
      <c r="A20" s="37"/>
      <c r="B20" s="33"/>
      <c r="C20" s="33"/>
      <c r="D20" s="33"/>
      <c r="E20" s="26" t="str">
        <f aca="false">IF(D20="","",IF(AND(B20=B19,B20=B18,D20&lt;=1,D19&lt;=1,D18&lt;=1,D19&lt;&gt;"",D18&lt;&gt;""),"Sim, passe para o próximo exercício","Ainda não: repita este exercício"))</f>
        <v/>
      </c>
    </row>
    <row r="21" customFormat="false" ht="15" hidden="false" customHeight="false" outlineLevel="0" collapsed="false">
      <c r="A21" s="37"/>
      <c r="B21" s="33"/>
      <c r="C21" s="33"/>
      <c r="D21" s="33"/>
      <c r="E21" s="26" t="str">
        <f aca="false">IF(D21="","",IF(AND(B21=B20,B21=B19,D21&lt;=1,D20&lt;=1,D19&lt;=1,D20&lt;&gt;"",D19&lt;&gt;""),"Sim, passe para o próximo exercício","Ainda não: repita este exercício"))</f>
        <v/>
      </c>
    </row>
    <row r="22" customFormat="false" ht="15" hidden="false" customHeight="false" outlineLevel="0" collapsed="false">
      <c r="A22" s="37"/>
      <c r="B22" s="33"/>
      <c r="C22" s="33"/>
      <c r="D22" s="33"/>
      <c r="E22" s="26" t="str">
        <f aca="false">IF(D22="","",IF(AND(B22=B21,B22=B20,D22&lt;=1,D21&lt;=1,D20&lt;=1,D21&lt;&gt;"",D20&lt;&gt;""),"Sim, passe para o próximo exercício","Ainda não: repita este exercício"))</f>
        <v/>
      </c>
    </row>
    <row r="23" customFormat="false" ht="15" hidden="false" customHeight="false" outlineLevel="0" collapsed="false">
      <c r="A23" s="37"/>
      <c r="B23" s="33"/>
      <c r="C23" s="33"/>
      <c r="D23" s="33"/>
      <c r="E23" s="26" t="str">
        <f aca="false">IF(D23="","",IF(AND(B23=B22,B23=B21,D23&lt;=1,D22&lt;=1,D21&lt;=1,D22&lt;&gt;"",D21&lt;&gt;""),"Sim, passe para o próximo exercício","Ainda não: repita este exercício"))</f>
        <v/>
      </c>
    </row>
    <row r="24" customFormat="false" ht="15" hidden="false" customHeight="false" outlineLevel="0" collapsed="false">
      <c r="A24" s="37"/>
      <c r="B24" s="33"/>
      <c r="C24" s="33"/>
      <c r="D24" s="33"/>
      <c r="E24" s="26" t="str">
        <f aca="false">IF(D24="","",IF(AND(B24=B23,B24=B22,D24&lt;=1,D23&lt;=1,D22&lt;=1,D23&lt;&gt;"",D22&lt;&gt;""),"Sim, passe para o próximo exercício","Ainda não: repita este exercício"))</f>
        <v/>
      </c>
    </row>
    <row r="25" customFormat="false" ht="15" hidden="false" customHeight="false" outlineLevel="0" collapsed="false">
      <c r="A25" s="37"/>
      <c r="B25" s="33"/>
      <c r="C25" s="33"/>
      <c r="D25" s="33"/>
      <c r="E25" s="26" t="str">
        <f aca="false">IF(D25="","",IF(AND(B25=B24,B25=B23,D25&lt;=1,D24&lt;=1,D23&lt;=1,D24&lt;&gt;"",D23&lt;&gt;""),"Sim, passe para o próximo exercício","Ainda não: repita este exercício"))</f>
        <v/>
      </c>
    </row>
    <row r="26" customFormat="false" ht="15" hidden="false" customHeight="false" outlineLevel="0" collapsed="false">
      <c r="A26" s="37"/>
      <c r="B26" s="33"/>
      <c r="C26" s="33"/>
      <c r="D26" s="33"/>
      <c r="E26" s="26" t="str">
        <f aca="false">IF(D26="","",IF(AND(B26=B25,B26=B24,D26&lt;=1,D25&lt;=1,D24&lt;=1,D25&lt;&gt;"",D24&lt;&gt;""),"Sim, passe para o próximo exercício","Ainda não: repita este exercício"))</f>
        <v/>
      </c>
    </row>
    <row r="27" customFormat="false" ht="15" hidden="false" customHeight="false" outlineLevel="0" collapsed="false">
      <c r="A27" s="37"/>
      <c r="B27" s="33"/>
      <c r="C27" s="33"/>
      <c r="D27" s="33"/>
      <c r="E27" s="26" t="str">
        <f aca="false">IF(D27="","",IF(AND(B27=B26,B27=B25,D27&lt;=1,D26&lt;=1,D25&lt;=1,D26&lt;&gt;"",D25&lt;&gt;""),"Sim, passe para o próximo exercício","Ainda não: repita este exercício"))</f>
        <v/>
      </c>
    </row>
    <row r="28" customFormat="false" ht="15" hidden="false" customHeight="false" outlineLevel="0" collapsed="false">
      <c r="A28" s="37"/>
      <c r="B28" s="33"/>
      <c r="C28" s="33"/>
      <c r="D28" s="33"/>
      <c r="E28" s="26" t="str">
        <f aca="false">IF(D28="","",IF(AND(B28=B27,B28=B26,D28&lt;=1,D27&lt;=1,D26&lt;=1,D27&lt;&gt;"",D26&lt;&gt;""),"Sim, passe para o próximo exercício","Ainda não: repita este exercício"))</f>
        <v/>
      </c>
    </row>
    <row r="29" customFormat="false" ht="15" hidden="false" customHeight="false" outlineLevel="0" collapsed="false">
      <c r="A29" s="37"/>
      <c r="B29" s="33"/>
      <c r="C29" s="33"/>
      <c r="D29" s="33"/>
      <c r="E29" s="26" t="str">
        <f aca="false">IF(D29="","",IF(AND(B29=B28,B29=B27,D29&lt;=1,D28&lt;=1,D27&lt;=1,D28&lt;&gt;"",D27&lt;&gt;""),"Sim, passe para o próximo exercício","Ainda não: repita este exercício"))</f>
        <v/>
      </c>
    </row>
    <row r="30" customFormat="false" ht="15" hidden="false" customHeight="false" outlineLevel="0" collapsed="false">
      <c r="A30" s="37"/>
      <c r="B30" s="33"/>
      <c r="C30" s="33"/>
      <c r="D30" s="33"/>
      <c r="E30" s="26" t="str">
        <f aca="false">IF(D30="","",IF(AND(B30=B29,B30=B28,D30&lt;=1,D29&lt;=1,D28&lt;=1,D29&lt;&gt;"",D28&lt;&gt;""),"Sim, passe para o próximo exercício","Ainda não: repita este exercício"))</f>
        <v/>
      </c>
    </row>
    <row r="31" customFormat="false" ht="15" hidden="false" customHeight="false" outlineLevel="0" collapsed="false">
      <c r="A31" s="37"/>
      <c r="B31" s="33"/>
      <c r="C31" s="33"/>
      <c r="D31" s="33"/>
      <c r="E31" s="26" t="str">
        <f aca="false">IF(D31="","",IF(AND(B31=B30,B31=B29,D31&lt;=1,D30&lt;=1,D29&lt;=1,D30&lt;&gt;"",D29&lt;&gt;""),"Sim, passe para o próximo exercício","Ainda não: repita este exercício"))</f>
        <v/>
      </c>
    </row>
    <row r="32" customFormat="false" ht="15" hidden="false" customHeight="false" outlineLevel="0" collapsed="false">
      <c r="A32" s="37"/>
      <c r="B32" s="33"/>
      <c r="C32" s="33"/>
      <c r="D32" s="33"/>
      <c r="E32" s="26" t="str">
        <f aca="false">IF(D32="","",IF(AND(B32=B31,B32=B30,D32&lt;=1,D31&lt;=1,D30&lt;=1,D31&lt;&gt;"",D30&lt;&gt;""),"Sim, passe para o próximo exercício","Ainda não: repita este exercício"))</f>
        <v/>
      </c>
    </row>
    <row r="33" customFormat="false" ht="15" hidden="false" customHeight="false" outlineLevel="0" collapsed="false">
      <c r="A33" s="37"/>
      <c r="B33" s="33"/>
      <c r="C33" s="33"/>
      <c r="D33" s="33"/>
      <c r="E33" s="26" t="str">
        <f aca="false">IF(D33="","",IF(AND(B33=B32,B33=B31,D33&lt;=1,D32&lt;=1,D31&lt;=1,D32&lt;&gt;"",D31&lt;&gt;""),"Sim, passe para o próximo exercício","Ainda não: repita este exercício"))</f>
        <v/>
      </c>
    </row>
    <row r="34" customFormat="false" ht="15" hidden="false" customHeight="false" outlineLevel="0" collapsed="false">
      <c r="A34" s="37"/>
      <c r="B34" s="33"/>
      <c r="C34" s="33"/>
      <c r="D34" s="33"/>
      <c r="E34" s="26" t="str">
        <f aca="false">IF(D34="","",IF(AND(B34=B33,B34=B32,D34&lt;=1,D33&lt;=1,D32&lt;=1,D33&lt;&gt;"",D32&lt;&gt;""),"Sim, passe para o próximo exercício","Ainda não: repita este exercício"))</f>
        <v/>
      </c>
    </row>
    <row r="35" customFormat="false" ht="15" hidden="false" customHeight="false" outlineLevel="0" collapsed="false">
      <c r="A35" s="37"/>
      <c r="B35" s="33"/>
      <c r="C35" s="33"/>
      <c r="D35" s="33"/>
      <c r="E35" s="26" t="str">
        <f aca="false">IF(D35="","",IF(AND(B35=B34,B35=B33,D35&lt;=1,D34&lt;=1,D33&lt;=1,D34&lt;&gt;"",D33&lt;&gt;""),"Sim, passe para o próximo exercício","Ainda não: repita este exercício"))</f>
        <v/>
      </c>
    </row>
    <row r="36" customFormat="false" ht="15" hidden="false" customHeight="false" outlineLevel="0" collapsed="false">
      <c r="A36" s="37"/>
      <c r="B36" s="33"/>
      <c r="C36" s="33"/>
      <c r="D36" s="33"/>
      <c r="E36" s="26" t="str">
        <f aca="false">IF(D36="","",IF(AND(B36=B35,B36=B34,D36&lt;=1,D35&lt;=1,D34&lt;=1,D35&lt;&gt;"",D34&lt;&gt;""),"Sim, passe para o próximo exercício","Ainda não: repita este exercício"))</f>
        <v/>
      </c>
    </row>
    <row r="37" customFormat="false" ht="15" hidden="false" customHeight="false" outlineLevel="0" collapsed="false">
      <c r="A37" s="37"/>
      <c r="B37" s="33"/>
      <c r="C37" s="33"/>
      <c r="D37" s="33"/>
      <c r="E37" s="26" t="str">
        <f aca="false">IF(D37="","",IF(AND(B37=B36,B37=B35,D37&lt;=1,D36&lt;=1,D35&lt;=1,D36&lt;&gt;"",D35&lt;&gt;""),"Sim, passe para o próximo exercício","Ainda não: repita este exercício"))</f>
        <v/>
      </c>
    </row>
    <row r="38" customFormat="false" ht="15" hidden="false" customHeight="false" outlineLevel="0" collapsed="false">
      <c r="A38" s="37"/>
      <c r="B38" s="33"/>
      <c r="C38" s="33"/>
      <c r="D38" s="33"/>
      <c r="E38" s="26" t="str">
        <f aca="false">IF(D38="","",IF(AND(B38=B37,B38=B36,D38&lt;=1,D37&lt;=1,D36&lt;=1,D37&lt;&gt;"",D36&lt;&gt;""),"Sim, passe para o próximo exercício","Ainda não: repita este exercício"))</f>
        <v/>
      </c>
    </row>
    <row r="39" customFormat="false" ht="15" hidden="false" customHeight="false" outlineLevel="0" collapsed="false">
      <c r="A39" s="37"/>
      <c r="B39" s="33"/>
      <c r="C39" s="33"/>
      <c r="D39" s="33"/>
      <c r="E39" s="26" t="str">
        <f aca="false">IF(D39="","",IF(AND(B39=B38,B39=B37,D39&lt;=1,D38&lt;=1,D37&lt;=1,D38&lt;&gt;"",D37&lt;&gt;""),"Sim, passe para o próximo exercício","Ainda não: repita este exercício"))</f>
        <v/>
      </c>
    </row>
    <row r="40" customFormat="false" ht="15" hidden="false" customHeight="false" outlineLevel="0" collapsed="false">
      <c r="A40" s="37"/>
      <c r="B40" s="33"/>
      <c r="C40" s="33"/>
      <c r="D40" s="33"/>
      <c r="E40" s="26" t="str">
        <f aca="false">IF(D40="","",IF(AND(B40=B39,B40=B38,D40&lt;=1,D39&lt;=1,D38&lt;=1,D39&lt;&gt;"",D38&lt;&gt;""),"Sim, passe para o próximo exercício","Ainda não: repita este exercício"))</f>
        <v/>
      </c>
    </row>
    <row r="41" customFormat="false" ht="15" hidden="false" customHeight="false" outlineLevel="0" collapsed="false">
      <c r="A41" s="37"/>
      <c r="B41" s="33"/>
      <c r="C41" s="33"/>
      <c r="D41" s="33"/>
      <c r="E41" s="26" t="str">
        <f aca="false">IF(D41="","",IF(AND(B41=B40,B41=B39,D41&lt;=1,D40&lt;=1,D39&lt;=1,D40&lt;&gt;"",D39&lt;&gt;""),"Sim, passe para o próximo exercício","Ainda não: repita este exercício"))</f>
        <v/>
      </c>
    </row>
    <row r="42" customFormat="false" ht="15" hidden="false" customHeight="false" outlineLevel="0" collapsed="false">
      <c r="A42" s="37"/>
      <c r="B42" s="33"/>
      <c r="C42" s="33"/>
      <c r="D42" s="33"/>
      <c r="E42" s="26" t="str">
        <f aca="false">IF(D42="","",IF(AND(B42=B41,B42=B40,D42&lt;=1,D41&lt;=1,D40&lt;=1,D41&lt;&gt;"",D40&lt;&gt;""),"Sim, passe para o próximo exercício","Ainda não: repita este exercício"))</f>
        <v/>
      </c>
    </row>
    <row r="43" customFormat="false" ht="15" hidden="false" customHeight="false" outlineLevel="0" collapsed="false">
      <c r="A43" s="37"/>
      <c r="B43" s="33"/>
      <c r="C43" s="33"/>
      <c r="D43" s="33"/>
      <c r="E43" s="26" t="str">
        <f aca="false">IF(D43="","",IF(AND(B43=B42,B43=B41,D43&lt;=1,D42&lt;=1,D41&lt;=1,D42&lt;&gt;"",D41&lt;&gt;""),"Sim, passe para o próximo exercício","Ainda não: repita este exercício"))</f>
        <v/>
      </c>
    </row>
    <row r="44" customFormat="false" ht="15" hidden="false" customHeight="false" outlineLevel="0" collapsed="false">
      <c r="A44" s="37"/>
      <c r="B44" s="33"/>
      <c r="C44" s="33"/>
      <c r="D44" s="33"/>
      <c r="E44" s="26" t="str">
        <f aca="false">IF(D44="","",IF(AND(B44=B43,B44=B42,D44&lt;=1,D43&lt;=1,D42&lt;=1,D43&lt;&gt;"",D42&lt;&gt;""),"Sim, passe para o próximo exercício","Ainda não: repita este exercício"))</f>
        <v/>
      </c>
    </row>
    <row r="45" customFormat="false" ht="15" hidden="false" customHeight="false" outlineLevel="0" collapsed="false">
      <c r="A45" s="37"/>
      <c r="B45" s="33"/>
      <c r="C45" s="33"/>
      <c r="D45" s="33"/>
      <c r="E45" s="26" t="str">
        <f aca="false">IF(D45="","",IF(AND(B45=B44,B45=B43,D45&lt;=1,D44&lt;=1,D43&lt;=1,D44&lt;&gt;"",D43&lt;&gt;""),"Sim, passe para o próximo exercício","Ainda não: repita este exercício"))</f>
        <v/>
      </c>
    </row>
    <row r="46" customFormat="false" ht="15" hidden="false" customHeight="false" outlineLevel="0" collapsed="false">
      <c r="A46" s="37"/>
      <c r="B46" s="33"/>
      <c r="C46" s="33"/>
      <c r="D46" s="33"/>
      <c r="E46" s="26" t="str">
        <f aca="false">IF(D46="","",IF(AND(B46=B45,B46=B44,D46&lt;=1,D45&lt;=1,D44&lt;=1,D45&lt;&gt;"",D44&lt;&gt;""),"Sim, passe para o próximo exercício","Ainda não: repita este exercício"))</f>
        <v/>
      </c>
    </row>
    <row r="47" customFormat="false" ht="15" hidden="false" customHeight="false" outlineLevel="0" collapsed="false">
      <c r="A47" s="37"/>
      <c r="B47" s="33"/>
      <c r="C47" s="33"/>
      <c r="D47" s="33"/>
      <c r="E47" s="26" t="str">
        <f aca="false">IF(D47="","",IF(AND(B47=B46,B47=B45,D47&lt;=1,D46&lt;=1,D45&lt;=1,D46&lt;&gt;"",D45&lt;&gt;""),"Sim, passe para o próximo exercício","Ainda não: repita este exercício"))</f>
        <v/>
      </c>
    </row>
    <row r="48" customFormat="false" ht="15" hidden="false" customHeight="false" outlineLevel="0" collapsed="false">
      <c r="A48" s="37"/>
      <c r="B48" s="33"/>
      <c r="C48" s="33"/>
      <c r="D48" s="33"/>
      <c r="E48" s="26" t="str">
        <f aca="false">IF(D48="","",IF(AND(B48=B47,B48=B46,D48&lt;=1,D47&lt;=1,D46&lt;=1,D47&lt;&gt;"",D46&lt;&gt;""),"Sim, passe para o próximo exercício","Ainda não: repita este exercício"))</f>
        <v/>
      </c>
    </row>
    <row r="49" customFormat="false" ht="15" hidden="false" customHeight="false" outlineLevel="0" collapsed="false">
      <c r="A49" s="37"/>
      <c r="B49" s="33"/>
      <c r="C49" s="33"/>
      <c r="D49" s="33"/>
      <c r="E49" s="26" t="str">
        <f aca="false">IF(D49="","",IF(AND(B49=B48,B49=B47,D49&lt;=1,D48&lt;=1,D47&lt;=1,D48&lt;&gt;"",D47&lt;&gt;""),"Sim, passe para o próximo exercício","Ainda não: repita este exercício"))</f>
        <v/>
      </c>
    </row>
    <row r="50" customFormat="false" ht="15" hidden="false" customHeight="false" outlineLevel="0" collapsed="false">
      <c r="A50" s="37"/>
      <c r="B50" s="33"/>
      <c r="C50" s="33"/>
      <c r="D50" s="33"/>
      <c r="E50" s="26" t="str">
        <f aca="false">IF(D50="","",IF(AND(B50=B49,B50=B48,D50&lt;=1,D49&lt;=1,D48&lt;=1,D49&lt;&gt;"",D48&lt;&gt;""),"Sim, passe para o próximo exercício","Ainda não: repita este exercício"))</f>
        <v/>
      </c>
    </row>
    <row r="51" customFormat="false" ht="15" hidden="false" customHeight="false" outlineLevel="0" collapsed="false">
      <c r="A51" s="37"/>
      <c r="B51" s="33"/>
      <c r="C51" s="33"/>
      <c r="D51" s="33"/>
      <c r="E51" s="26" t="str">
        <f aca="false">IF(D51="","",IF(AND(B51=B50,B51=B49,D51&lt;=1,D50&lt;=1,D49&lt;=1,D50&lt;&gt;"",D49&lt;&gt;""),"Sim, passe para o próximo exercício","Ainda não: repita este exercício"))</f>
        <v/>
      </c>
    </row>
    <row r="52" customFormat="false" ht="15" hidden="false" customHeight="false" outlineLevel="0" collapsed="false">
      <c r="A52" s="37"/>
      <c r="B52" s="33"/>
      <c r="C52" s="33"/>
      <c r="D52" s="33"/>
      <c r="E52" s="26" t="str">
        <f aca="false">IF(D52="","",IF(AND(B52=B51,B52=B50,D52&lt;=1,D51&lt;=1,D50&lt;=1,D51&lt;&gt;"",D50&lt;&gt;""),"Sim, passe para o próximo exercício","Ainda não: repita este exercício"))</f>
        <v/>
      </c>
    </row>
    <row r="53" customFormat="false" ht="15" hidden="false" customHeight="false" outlineLevel="0" collapsed="false">
      <c r="A53" s="37"/>
      <c r="B53" s="33"/>
      <c r="C53" s="33"/>
      <c r="D53" s="33"/>
      <c r="E53" s="26" t="str">
        <f aca="false">IF(D53="","",IF(AND(B53=B52,B53=B51,D53&lt;=1,D52&lt;=1,D51&lt;=1,D52&lt;&gt;"",D51&lt;&gt;""),"Sim, passe para o próximo exercício","Ainda não: repita este exercício"))</f>
        <v/>
      </c>
    </row>
    <row r="54" customFormat="false" ht="15" hidden="false" customHeight="false" outlineLevel="0" collapsed="false">
      <c r="A54" s="37"/>
      <c r="B54" s="33"/>
      <c r="C54" s="33"/>
      <c r="D54" s="33"/>
      <c r="E54" s="26" t="str">
        <f aca="false">IF(D54="","",IF(AND(B54=B53,B54=B52,D54&lt;=1,D53&lt;=1,D52&lt;=1,D53&lt;&gt;"",D52&lt;&gt;""),"Sim, passe para o próximo exercício","Ainda não: repita este exercício"))</f>
        <v/>
      </c>
    </row>
    <row r="55" customFormat="false" ht="15" hidden="false" customHeight="false" outlineLevel="0" collapsed="false">
      <c r="A55" s="37"/>
      <c r="B55" s="33"/>
      <c r="C55" s="33"/>
      <c r="D55" s="33"/>
      <c r="E55" s="26" t="str">
        <f aca="false">IF(D55="","",IF(AND(B55=B54,B55=B53,D55&lt;=1,D54&lt;=1,D53&lt;=1,D54&lt;&gt;"",D53&lt;&gt;""),"Sim, passe para o próximo exercício","Ainda não: repita este exercício"))</f>
        <v/>
      </c>
    </row>
    <row r="56" customFormat="false" ht="15" hidden="false" customHeight="false" outlineLevel="0" collapsed="false">
      <c r="A56" s="37"/>
      <c r="B56" s="33"/>
      <c r="C56" s="33"/>
      <c r="D56" s="33"/>
      <c r="E56" s="26" t="str">
        <f aca="false">IF(D56="","",IF(AND(B56=B55,B56=B54,D56&lt;=1,D55&lt;=1,D54&lt;=1,D55&lt;&gt;"",D54&lt;&gt;""),"Sim, passe para o próximo exercício","Ainda não: repita este exercício"))</f>
        <v/>
      </c>
    </row>
    <row r="57" customFormat="false" ht="15" hidden="false" customHeight="false" outlineLevel="0" collapsed="false">
      <c r="A57" s="37"/>
      <c r="B57" s="33"/>
      <c r="C57" s="33"/>
      <c r="D57" s="33"/>
      <c r="E57" s="26" t="str">
        <f aca="false">IF(D57="","",IF(AND(B57=B56,B57=B55,D57&lt;=1,D56&lt;=1,D55&lt;=1,D56&lt;&gt;"",D55&lt;&gt;""),"Sim, passe para o próximo exercício","Ainda não: repita este exercício"))</f>
        <v/>
      </c>
    </row>
    <row r="58" customFormat="false" ht="15" hidden="false" customHeight="false" outlineLevel="0" collapsed="false">
      <c r="A58" s="37"/>
      <c r="B58" s="33"/>
      <c r="C58" s="33"/>
      <c r="D58" s="33"/>
      <c r="E58" s="26" t="str">
        <f aca="false">IF(D58="","",IF(AND(B58=B57,B58=B56,D58&lt;=1,D57&lt;=1,D56&lt;=1,D57&lt;&gt;"",D56&lt;&gt;""),"Sim, passe para o próximo exercício","Ainda não: repita este exercício"))</f>
        <v/>
      </c>
    </row>
    <row r="59" customFormat="false" ht="15" hidden="false" customHeight="false" outlineLevel="0" collapsed="false">
      <c r="A59" s="37"/>
      <c r="B59" s="33"/>
      <c r="C59" s="33"/>
      <c r="D59" s="33"/>
      <c r="E59" s="26" t="str">
        <f aca="false">IF(D59="","",IF(AND(B59=B58,B59=B57,D59&lt;=1,D58&lt;=1,D57&lt;=1,D58&lt;&gt;"",D57&lt;&gt;""),"Sim, passe para o próximo exercício","Ainda não: repita este exercício"))</f>
        <v/>
      </c>
    </row>
    <row r="60" customFormat="false" ht="15" hidden="false" customHeight="false" outlineLevel="0" collapsed="false">
      <c r="A60" s="37"/>
      <c r="B60" s="33"/>
      <c r="C60" s="33"/>
      <c r="D60" s="33"/>
      <c r="E60" s="26" t="str">
        <f aca="false">IF(D60="","",IF(AND(B60=B59,B60=B58,D60&lt;=1,D59&lt;=1,D58&lt;=1,D59&lt;&gt;"",D58&lt;&gt;""),"Sim, passe para o próximo exercício","Ainda não: repita este exercício"))</f>
        <v/>
      </c>
    </row>
    <row r="61" customFormat="false" ht="15" hidden="false" customHeight="false" outlineLevel="0" collapsed="false">
      <c r="A61" s="37"/>
      <c r="B61" s="33"/>
      <c r="C61" s="33"/>
      <c r="D61" s="33"/>
      <c r="E61" s="26" t="str">
        <f aca="false">IF(D61="","",IF(AND(B61=B60,B61=B59,D61&lt;=1,D60&lt;=1,D59&lt;=1,D60&lt;&gt;"",D59&lt;&gt;""),"Sim, passe para o próximo exercício","Ainda não: repita este exercício"))</f>
        <v/>
      </c>
    </row>
    <row r="62" customFormat="false" ht="15" hidden="false" customHeight="false" outlineLevel="0" collapsed="false">
      <c r="A62" s="37"/>
      <c r="B62" s="33"/>
      <c r="C62" s="33"/>
      <c r="D62" s="33"/>
      <c r="E62" s="26" t="str">
        <f aca="false">IF(D62="","",IF(AND(B62=B61,B62=B60,D62&lt;=1,D61&lt;=1,D60&lt;=1,D61&lt;&gt;"",D60&lt;&gt;""),"Sim, passe para o próximo exercício","Ainda não: repita este exercício"))</f>
        <v/>
      </c>
    </row>
    <row r="63" customFormat="false" ht="15" hidden="false" customHeight="false" outlineLevel="0" collapsed="false">
      <c r="A63" s="37"/>
      <c r="B63" s="33"/>
      <c r="C63" s="33"/>
      <c r="D63" s="33"/>
      <c r="E63" s="26" t="str">
        <f aca="false">IF(D63="","",IF(AND(B63=B62,B63=B61,D63&lt;=1,D62&lt;=1,D61&lt;=1,D62&lt;&gt;"",D61&lt;&gt;""),"Sim, passe para o próximo exercício","Ainda não: repita este exercício"))</f>
        <v/>
      </c>
    </row>
    <row r="64" customFormat="false" ht="15" hidden="false" customHeight="false" outlineLevel="0" collapsed="false">
      <c r="A64" s="37"/>
      <c r="B64" s="33"/>
      <c r="C64" s="33"/>
      <c r="D64" s="33"/>
      <c r="E64" s="26" t="str">
        <f aca="false">IF(D64="","",IF(AND(B64=B63,B64=B62,D64&lt;=1,D63&lt;=1,D62&lt;=1,D63&lt;&gt;"",D62&lt;&gt;""),"Sim, passe para o próximo exercício","Ainda não: repita este exercício"))</f>
        <v/>
      </c>
    </row>
    <row r="65" customFormat="false" ht="15" hidden="false" customHeight="false" outlineLevel="0" collapsed="false">
      <c r="A65" s="37"/>
      <c r="B65" s="33"/>
      <c r="C65" s="33"/>
      <c r="D65" s="33"/>
      <c r="E65" s="26" t="str">
        <f aca="false">IF(D65="","",IF(AND(B65=B64,B65=B63,D65&lt;=1,D64&lt;=1,D63&lt;=1,D64&lt;&gt;"",D63&lt;&gt;""),"Sim, passe para o próximo exercício","Ainda não: repita este exercício"))</f>
        <v/>
      </c>
    </row>
    <row r="66" customFormat="false" ht="15" hidden="false" customHeight="false" outlineLevel="0" collapsed="false">
      <c r="A66" s="37"/>
      <c r="B66" s="33"/>
      <c r="C66" s="33"/>
      <c r="D66" s="33"/>
      <c r="E66" s="26" t="str">
        <f aca="false">IF(D66="","",IF(AND(B66=B65,B66=B64,D66&lt;=1,D65&lt;=1,D64&lt;=1,D65&lt;&gt;"",D64&lt;&gt;""),"Sim, passe para o próximo exercício","Ainda não: repita este exercício"))</f>
        <v/>
      </c>
    </row>
    <row r="67" customFormat="false" ht="15" hidden="false" customHeight="false" outlineLevel="0" collapsed="false">
      <c r="A67" s="37"/>
      <c r="B67" s="33"/>
      <c r="C67" s="33"/>
      <c r="D67" s="33"/>
      <c r="E67" s="26" t="str">
        <f aca="false">IF(D67="","",IF(AND(B67=B66,B67=B65,D67&lt;=1,D66&lt;=1,D65&lt;=1,D66&lt;&gt;"",D65&lt;&gt;""),"Sim, passe para o próximo exercício","Ainda não: repita este exercício"))</f>
        <v/>
      </c>
    </row>
    <row r="68" customFormat="false" ht="15" hidden="false" customHeight="false" outlineLevel="0" collapsed="false">
      <c r="A68" s="37"/>
      <c r="B68" s="33"/>
      <c r="C68" s="33"/>
      <c r="D68" s="33"/>
      <c r="E68" s="26" t="str">
        <f aca="false">IF(D68="","",IF(AND(B68=B67,B68=B66,D68&lt;=1,D67&lt;=1,D66&lt;=1,D67&lt;&gt;"",D66&lt;&gt;""),"Sim, passe para o próximo exercício","Ainda não: repita este exercício"))</f>
        <v/>
      </c>
    </row>
    <row r="69" customFormat="false" ht="15" hidden="false" customHeight="false" outlineLevel="0" collapsed="false">
      <c r="A69" s="37"/>
      <c r="B69" s="33"/>
      <c r="C69" s="33"/>
      <c r="D69" s="33"/>
      <c r="E69" s="26" t="str">
        <f aca="false">IF(D69="","",IF(AND(B69=B68,B69=B67,D69&lt;=1,D68&lt;=1,D67&lt;=1,D68&lt;&gt;"",D67&lt;&gt;""),"Sim, passe para o próximo exercício","Ainda não: repita este exercício"))</f>
        <v/>
      </c>
    </row>
    <row r="70" customFormat="false" ht="15" hidden="false" customHeight="false" outlineLevel="0" collapsed="false">
      <c r="A70" s="37"/>
      <c r="B70" s="33"/>
      <c r="C70" s="33"/>
      <c r="D70" s="33"/>
      <c r="E70" s="26" t="str">
        <f aca="false">IF(D70="","",IF(AND(B70=B69,B70=B68,D70&lt;=1,D69&lt;=1,D68&lt;=1,D69&lt;&gt;"",D68&lt;&gt;""),"Sim, passe para o próximo exercício","Ainda não: repita este exercício"))</f>
        <v/>
      </c>
    </row>
    <row r="71" customFormat="false" ht="15" hidden="false" customHeight="false" outlineLevel="0" collapsed="false">
      <c r="A71" s="37"/>
      <c r="B71" s="33"/>
      <c r="C71" s="33"/>
      <c r="D71" s="33"/>
      <c r="E71" s="26" t="str">
        <f aca="false">IF(D71="","",IF(AND(B71=B70,B71=B69,D71&lt;=1,D70&lt;=1,D69&lt;=1,D70&lt;&gt;"",D69&lt;&gt;""),"Sim, passe para o próximo exercício","Ainda não: repita este exercício"))</f>
        <v/>
      </c>
    </row>
    <row r="72" customFormat="false" ht="15" hidden="false" customHeight="false" outlineLevel="0" collapsed="false">
      <c r="A72" s="37"/>
      <c r="B72" s="33"/>
      <c r="C72" s="33"/>
      <c r="D72" s="33"/>
      <c r="E72" s="26" t="str">
        <f aca="false">IF(D72="","",IF(AND(B72=B71,B72=B70,D72&lt;=1,D71&lt;=1,D70&lt;=1,D71&lt;&gt;"",D70&lt;&gt;""),"Sim, passe para o próximo exercício","Ainda não: repita este exercício"))</f>
        <v/>
      </c>
    </row>
    <row r="73" customFormat="false" ht="15" hidden="false" customHeight="false" outlineLevel="0" collapsed="false">
      <c r="A73" s="37"/>
      <c r="B73" s="33"/>
      <c r="C73" s="33"/>
      <c r="D73" s="33"/>
      <c r="E73" s="26" t="str">
        <f aca="false">IF(D73="","",IF(AND(B73=B72,B73=B71,D73&lt;=1,D72&lt;=1,D71&lt;=1,D72&lt;&gt;"",D71&lt;&gt;""),"Sim, passe para o próximo exercício","Ainda não: repita este exercício"))</f>
        <v/>
      </c>
    </row>
  </sheetData>
  <dataValidations count="2">
    <dataValidation allowBlank="true" errorStyle="stop" operator="between" showDropDown="false" showErrorMessage="false" showInputMessage="false" sqref="B14:B73" type="list">
      <formula1>"Só a chave,Dois sinais,Sequência completa,Até a porta"</formula1>
      <formula2>0</formula2>
    </dataValidation>
    <dataValidation allowBlank="true" error="Use um número de 0 a 3." errorStyle="stop" operator="between" showDropDown="false" showErrorMessage="true" showInputMessage="false" sqref="D14:D73" type="decimal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A33B"/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6" t="s">
        <v>77</v>
      </c>
    </row>
    <row r="2" customFormat="false" ht="15" hidden="false" customHeight="false" outlineLevel="0" collapsed="false">
      <c r="A2" s="2" t="s">
        <v>78</v>
      </c>
    </row>
    <row r="4" customFormat="false" ht="31.5" hidden="false" customHeight="true" outlineLevel="0" collapsed="false">
      <c r="A4" s="17" t="s">
        <v>29</v>
      </c>
      <c r="B4" s="17" t="s">
        <v>45</v>
      </c>
      <c r="C4" s="17" t="s">
        <v>79</v>
      </c>
      <c r="D4" s="17" t="s">
        <v>80</v>
      </c>
    </row>
    <row r="5" customFormat="false" ht="15" hidden="false" customHeight="false" outlineLevel="0" collapsed="false">
      <c r="A5" s="18" t="n">
        <v>1</v>
      </c>
      <c r="B5" s="38" t="s">
        <v>81</v>
      </c>
      <c r="C5" s="18" t="n">
        <v>5</v>
      </c>
      <c r="D5" s="18" t="s">
        <v>79</v>
      </c>
    </row>
    <row r="6" customFormat="false" ht="15" hidden="false" customHeight="false" outlineLevel="0" collapsed="false">
      <c r="A6" s="39" t="n">
        <v>2</v>
      </c>
      <c r="B6" s="40" t="s">
        <v>82</v>
      </c>
      <c r="C6" s="39" t="n">
        <v>10</v>
      </c>
      <c r="D6" s="39" t="s">
        <v>79</v>
      </c>
    </row>
    <row r="7" customFormat="false" ht="15" hidden="false" customHeight="false" outlineLevel="0" collapsed="false">
      <c r="A7" s="18" t="n">
        <v>3</v>
      </c>
      <c r="B7" s="38" t="s">
        <v>83</v>
      </c>
      <c r="C7" s="18" t="n">
        <v>20</v>
      </c>
      <c r="D7" s="18" t="s">
        <v>79</v>
      </c>
    </row>
    <row r="8" customFormat="false" ht="15" hidden="false" customHeight="false" outlineLevel="0" collapsed="false">
      <c r="A8" s="39" t="n">
        <v>4</v>
      </c>
      <c r="B8" s="40" t="s">
        <v>36</v>
      </c>
      <c r="C8" s="39" t="n">
        <v>30</v>
      </c>
      <c r="D8" s="39" t="s">
        <v>79</v>
      </c>
    </row>
    <row r="9" customFormat="false" ht="15" hidden="false" customHeight="false" outlineLevel="0" collapsed="false">
      <c r="A9" s="18" t="n">
        <v>5</v>
      </c>
      <c r="B9" s="38" t="s">
        <v>84</v>
      </c>
      <c r="C9" s="18" t="n">
        <v>45</v>
      </c>
      <c r="D9" s="18" t="s">
        <v>79</v>
      </c>
    </row>
    <row r="10" customFormat="false" ht="15" hidden="false" customHeight="false" outlineLevel="0" collapsed="false">
      <c r="A10" s="39" t="n">
        <v>6</v>
      </c>
      <c r="B10" s="40" t="s">
        <v>85</v>
      </c>
      <c r="C10" s="39" t="n">
        <v>60</v>
      </c>
      <c r="D10" s="39" t="s">
        <v>79</v>
      </c>
    </row>
    <row r="11" customFormat="false" ht="15" hidden="false" customHeight="false" outlineLevel="0" collapsed="false">
      <c r="A11" s="18" t="n">
        <v>7</v>
      </c>
      <c r="B11" s="38" t="s">
        <v>86</v>
      </c>
      <c r="C11" s="18" t="n">
        <v>90</v>
      </c>
      <c r="D11" s="18" t="s">
        <v>87</v>
      </c>
    </row>
    <row r="12" customFormat="false" ht="15" hidden="false" customHeight="false" outlineLevel="0" collapsed="false">
      <c r="A12" s="39" t="n">
        <v>8</v>
      </c>
      <c r="B12" s="40" t="s">
        <v>88</v>
      </c>
      <c r="C12" s="39" t="n">
        <v>120</v>
      </c>
      <c r="D12" s="39" t="s">
        <v>87</v>
      </c>
    </row>
    <row r="13" customFormat="false" ht="15" hidden="false" customHeight="false" outlineLevel="0" collapsed="false">
      <c r="A13" s="18" t="n">
        <v>9</v>
      </c>
      <c r="B13" s="38" t="s">
        <v>89</v>
      </c>
      <c r="C13" s="18" t="n">
        <v>180</v>
      </c>
      <c r="D13" s="18" t="s">
        <v>87</v>
      </c>
    </row>
    <row r="14" customFormat="false" ht="15" hidden="false" customHeight="false" outlineLevel="0" collapsed="false">
      <c r="A14" s="39" t="n">
        <v>10</v>
      </c>
      <c r="B14" s="40" t="s">
        <v>90</v>
      </c>
      <c r="C14" s="39" t="n">
        <v>240</v>
      </c>
      <c r="D14" s="39" t="s">
        <v>87</v>
      </c>
    </row>
    <row r="15" customFormat="false" ht="15" hidden="false" customHeight="false" outlineLevel="0" collapsed="false">
      <c r="A15" s="18" t="n">
        <v>11</v>
      </c>
      <c r="B15" s="38" t="s">
        <v>91</v>
      </c>
      <c r="C15" s="18" t="n">
        <v>300</v>
      </c>
      <c r="D15" s="18" t="s">
        <v>87</v>
      </c>
    </row>
    <row r="16" customFormat="false" ht="15" hidden="false" customHeight="false" outlineLevel="0" collapsed="false">
      <c r="A16" s="39" t="n">
        <v>12</v>
      </c>
      <c r="B16" s="40" t="s">
        <v>92</v>
      </c>
      <c r="C16" s="39" t="n">
        <v>420</v>
      </c>
      <c r="D16" s="39" t="s">
        <v>87</v>
      </c>
    </row>
    <row r="17" customFormat="false" ht="15" hidden="false" customHeight="false" outlineLevel="0" collapsed="false">
      <c r="A17" s="18" t="n">
        <v>13</v>
      </c>
      <c r="B17" s="38" t="s">
        <v>93</v>
      </c>
      <c r="C17" s="18" t="n">
        <v>600</v>
      </c>
      <c r="D17" s="18" t="s">
        <v>87</v>
      </c>
    </row>
    <row r="18" customFormat="false" ht="15" hidden="false" customHeight="false" outlineLevel="0" collapsed="false">
      <c r="A18" s="39" t="n">
        <v>14</v>
      </c>
      <c r="B18" s="40" t="s">
        <v>94</v>
      </c>
      <c r="C18" s="39" t="n">
        <v>900</v>
      </c>
      <c r="D18" s="39" t="s">
        <v>95</v>
      </c>
    </row>
    <row r="19" customFormat="false" ht="15" hidden="false" customHeight="false" outlineLevel="0" collapsed="false">
      <c r="A19" s="18" t="n">
        <v>15</v>
      </c>
      <c r="B19" s="38" t="s">
        <v>96</v>
      </c>
      <c r="C19" s="18" t="n">
        <v>1200</v>
      </c>
      <c r="D19" s="18" t="s">
        <v>95</v>
      </c>
    </row>
    <row r="20" customFormat="false" ht="15" hidden="false" customHeight="false" outlineLevel="0" collapsed="false">
      <c r="A20" s="39" t="n">
        <v>16</v>
      </c>
      <c r="B20" s="40" t="s">
        <v>97</v>
      </c>
      <c r="C20" s="39" t="n">
        <v>1800</v>
      </c>
      <c r="D20" s="39" t="s">
        <v>95</v>
      </c>
    </row>
    <row r="21" customFormat="false" ht="15" hidden="false" customHeight="false" outlineLevel="0" collapsed="false">
      <c r="A21" s="18" t="n">
        <v>17</v>
      </c>
      <c r="B21" s="38" t="s">
        <v>98</v>
      </c>
      <c r="C21" s="18" t="n">
        <v>2700</v>
      </c>
      <c r="D21" s="18" t="s">
        <v>95</v>
      </c>
    </row>
    <row r="22" customFormat="false" ht="15" hidden="false" customHeight="false" outlineLevel="0" collapsed="false">
      <c r="A22" s="39" t="n">
        <v>18</v>
      </c>
      <c r="B22" s="40" t="s">
        <v>99</v>
      </c>
      <c r="C22" s="39" t="n">
        <v>3600</v>
      </c>
      <c r="D22" s="39" t="s">
        <v>95</v>
      </c>
    </row>
    <row r="23" customFormat="false" ht="15" hidden="false" customHeight="false" outlineLevel="0" collapsed="false">
      <c r="A23" s="18" t="n">
        <v>19</v>
      </c>
      <c r="B23" s="38" t="s">
        <v>100</v>
      </c>
      <c r="C23" s="18" t="n">
        <v>5400</v>
      </c>
      <c r="D23" s="18" t="s">
        <v>95</v>
      </c>
    </row>
    <row r="24" customFormat="false" ht="15" hidden="false" customHeight="false" outlineLevel="0" collapsed="false">
      <c r="A24" s="39" t="n">
        <v>20</v>
      </c>
      <c r="B24" s="40" t="s">
        <v>101</v>
      </c>
      <c r="C24" s="39" t="n">
        <v>7200</v>
      </c>
      <c r="D24" s="3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2026-09-28T21:26:49Z</dcterms:created>
  <dc:creator>openpyxl</dc:creator>
  <dc:description/>
  <dc:language>en-US</dc:language>
  <cp:lastModifiedBy/>
  <dcterms:modified xsi:type="dcterms:W3CDTF">2026-09-28T21:26:51Z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